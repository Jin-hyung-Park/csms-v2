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치메가 9월 신고" sheetId="1" r:id="rId4"/>
    <sheet state="visible" name="대치메가 9월 급여" sheetId="2" r:id="rId5"/>
    <sheet state="visible" name="대치 9월 주급여" sheetId="3" r:id="rId6"/>
    <sheet state="visible" name="삼성메가 9월 신고" sheetId="4" r:id="rId7"/>
    <sheet state="visible" name="삼성메가 9월 급여" sheetId="5" r:id="rId8"/>
    <sheet state="visible" name="삼성 9월 주급여" sheetId="6" r:id="rId9"/>
    <sheet state="visible" name="인력현황" sheetId="7" r:id="rId10"/>
    <sheet state="visible" name="시트18" sheetId="8" r:id="rId11"/>
    <sheet state="visible" name="시트15" sheetId="9" r:id="rId12"/>
    <sheet state="visible" name="비용" sheetId="10" r:id="rId13"/>
  </sheets>
  <definedNames>
    <definedName hidden="1" localSheetId="0" name="_xlnm._FilterDatabase">'대치메가 9월 신고'!$A$1:$Q$14</definedName>
    <definedName hidden="1" localSheetId="2" name="_xlnm._FilterDatabase">'대치 9월 주급여'!$A$1:$T$91</definedName>
    <definedName hidden="1" localSheetId="3" name="_xlnm._FilterDatabase">'삼성메가 9월 신고'!$A$1:$R$14</definedName>
    <definedName hidden="1" localSheetId="5" name="_xlnm._FilterDatabase">'삼성 9월 주급여'!$A$1:$U$97</definedName>
    <definedName hidden="1" localSheetId="6" name="_xlnm._FilterDatabase">'인력현황'!$A$1:$G$26</definedName>
  </definedNames>
  <calcPr/>
</workbook>
</file>

<file path=xl/sharedStrings.xml><?xml version="1.0" encoding="utf-8"?>
<sst xmlns="http://schemas.openxmlformats.org/spreadsheetml/2006/main" count="1123" uniqueCount="220">
  <si>
    <t>이름</t>
  </si>
  <si>
    <t>주민번호</t>
  </si>
  <si>
    <t>입사일</t>
  </si>
  <si>
    <t>근무요일</t>
  </si>
  <si>
    <t>근무시간</t>
  </si>
  <si>
    <t>현재
주 소정근로시간
법정 휴게제외</t>
  </si>
  <si>
    <t>일 휴게시간</t>
  </si>
  <si>
    <t>조정 후
주 소정근로시간</t>
  </si>
  <si>
    <t>실급여</t>
  </si>
  <si>
    <t>신고 급여</t>
  </si>
  <si>
    <t>특이사항</t>
  </si>
  <si>
    <t>만근수당대상</t>
  </si>
  <si>
    <t>지급여부</t>
  </si>
  <si>
    <t>비고</t>
  </si>
  <si>
    <t>6월 최초</t>
  </si>
  <si>
    <t>6월 수정</t>
  </si>
  <si>
    <t>배은솔</t>
  </si>
  <si>
    <t>2023.05.25</t>
  </si>
  <si>
    <t>평일</t>
  </si>
  <si>
    <t>점주</t>
  </si>
  <si>
    <t>김석원</t>
  </si>
  <si>
    <t>980210-1083216</t>
  </si>
  <si>
    <t>2025.05.21</t>
  </si>
  <si>
    <t>22:30~06:30</t>
  </si>
  <si>
    <t>3.3% 사업소득신고</t>
  </si>
  <si>
    <t>김현지</t>
  </si>
  <si>
    <t>060519-4686218</t>
  </si>
  <si>
    <t>2024.02.27</t>
  </si>
  <si>
    <t>화, 목
토, 일</t>
  </si>
  <si>
    <t>15:00~18:30
16:00~23:00</t>
  </si>
  <si>
    <t>문병준</t>
  </si>
  <si>
    <t>970828-1019729</t>
  </si>
  <si>
    <t>2024.08.07</t>
  </si>
  <si>
    <t>월, 수, 금</t>
  </si>
  <si>
    <t>18:30~23:00</t>
  </si>
  <si>
    <t>주15시간 미만</t>
  </si>
  <si>
    <t>안지혜</t>
  </si>
  <si>
    <t>021220-4069418</t>
  </si>
  <si>
    <t>2025.05.10</t>
  </si>
  <si>
    <t>토, 일</t>
  </si>
  <si>
    <t>12:00~16:00</t>
  </si>
  <si>
    <t>알리사</t>
  </si>
  <si>
    <t>020527-8780077</t>
  </si>
  <si>
    <t>2024.03.09</t>
  </si>
  <si>
    <t>18:30~23:00
07:00~12:00</t>
  </si>
  <si>
    <t>이주형</t>
  </si>
  <si>
    <t>901128-1851613</t>
  </si>
  <si>
    <t>2025.05.17</t>
  </si>
  <si>
    <t>금,토</t>
  </si>
  <si>
    <t>23:00~07:00</t>
  </si>
  <si>
    <t>권민석</t>
  </si>
  <si>
    <t>040222-3057215</t>
  </si>
  <si>
    <t>2025.07.16</t>
  </si>
  <si>
    <t>일용직</t>
  </si>
  <si>
    <t>-</t>
  </si>
  <si>
    <t>9월 퇴사</t>
  </si>
  <si>
    <t>배익순</t>
  </si>
  <si>
    <t>630215-1066929</t>
  </si>
  <si>
    <t>2025.04.01</t>
  </si>
  <si>
    <t>직계가족</t>
  </si>
  <si>
    <t>유성심</t>
  </si>
  <si>
    <t>720808-2029819</t>
  </si>
  <si>
    <t>2024.01.01</t>
  </si>
  <si>
    <t>가용인원</t>
  </si>
  <si>
    <t>최지혜</t>
  </si>
  <si>
    <t>810208-2041516</t>
  </si>
  <si>
    <t>ㅇ</t>
  </si>
  <si>
    <t>월요일</t>
  </si>
  <si>
    <t>화요일</t>
  </si>
  <si>
    <t>수요일</t>
  </si>
  <si>
    <t>목요일</t>
  </si>
  <si>
    <t>금요일</t>
  </si>
  <si>
    <t>토요일</t>
  </si>
  <si>
    <t>일요일</t>
  </si>
  <si>
    <t>구분</t>
  </si>
  <si>
    <t>시작시간</t>
  </si>
  <si>
    <t>종료시간</t>
  </si>
  <si>
    <t>일자</t>
  </si>
  <si>
    <t>1주차</t>
  </si>
  <si>
    <t>강순옥</t>
  </si>
  <si>
    <t>최제일</t>
  </si>
  <si>
    <t>2주차</t>
  </si>
  <si>
    <t>3주차</t>
  </si>
  <si>
    <t>4주차</t>
  </si>
  <si>
    <t>5주차</t>
  </si>
  <si>
    <t>6주차</t>
  </si>
  <si>
    <t>주차</t>
  </si>
  <si>
    <t>주휴여부</t>
  </si>
  <si>
    <t>시급</t>
  </si>
  <si>
    <t>급여</t>
  </si>
  <si>
    <t>주휴수당</t>
  </si>
  <si>
    <t>주급</t>
  </si>
  <si>
    <t>총 근무시간</t>
  </si>
  <si>
    <t>급여 합</t>
  </si>
  <si>
    <t>주휴수당 합</t>
  </si>
  <si>
    <t>월급</t>
  </si>
  <si>
    <t>근로소득세(3.3%)</t>
  </si>
  <si>
    <t>지급액</t>
  </si>
  <si>
    <t>김수옥</t>
  </si>
  <si>
    <t>X</t>
  </si>
  <si>
    <t>오수진</t>
  </si>
  <si>
    <t>삼성근무</t>
  </si>
  <si>
    <t>윤예원</t>
  </si>
  <si>
    <t>박소혜</t>
  </si>
  <si>
    <t>서은주</t>
  </si>
  <si>
    <t>성수진</t>
  </si>
  <si>
    <t>이성연</t>
  </si>
  <si>
    <t>만근수당 대상</t>
  </si>
  <si>
    <t>은행</t>
  </si>
  <si>
    <t>계좌번호</t>
  </si>
  <si>
    <t>고상원</t>
  </si>
  <si>
    <t>040323-3076619</t>
  </si>
  <si>
    <t>2024.11.20</t>
  </si>
  <si>
    <t>김승만</t>
  </si>
  <si>
    <t>840523-1558211</t>
  </si>
  <si>
    <t>2025.04.22</t>
  </si>
  <si>
    <t>월~금</t>
  </si>
  <si>
    <t>박진형</t>
  </si>
  <si>
    <t>880607-1122820</t>
  </si>
  <si>
    <t>2023.05.28</t>
  </si>
  <si>
    <t>07:00~15:00</t>
  </si>
  <si>
    <t>양현서</t>
  </si>
  <si>
    <t>000502-4520022</t>
  </si>
  <si>
    <t>2025.07.31</t>
  </si>
  <si>
    <t>금, 토</t>
  </si>
  <si>
    <t>오승윤</t>
  </si>
  <si>
    <t>040630-3216015</t>
  </si>
  <si>
    <t>2025.08.16</t>
  </si>
  <si>
    <t>15:00~18:30</t>
  </si>
  <si>
    <t>이수미</t>
  </si>
  <si>
    <t>960611-2192319</t>
  </si>
  <si>
    <t>2025.01.21</t>
  </si>
  <si>
    <t>화,목</t>
  </si>
  <si>
    <t>정지민</t>
  </si>
  <si>
    <t>970505-1560412</t>
  </si>
  <si>
    <t>2025.03.27</t>
  </si>
  <si>
    <t>월,수,금</t>
  </si>
  <si>
    <t>07:00~18:30</t>
  </si>
  <si>
    <t>_x0008_미신고</t>
  </si>
  <si>
    <t>박원주</t>
  </si>
  <si>
    <t>850531-2122827</t>
  </si>
  <si>
    <t>최수연</t>
  </si>
  <si>
    <t>821103-2025316</t>
  </si>
  <si>
    <t>요일</t>
  </si>
  <si>
    <t>퇴사</t>
  </si>
  <si>
    <t>총근무시간</t>
  </si>
  <si>
    <t>교육생</t>
  </si>
  <si>
    <t>교육자</t>
  </si>
  <si>
    <t>김주환</t>
  </si>
  <si>
    <t>우주현</t>
  </si>
  <si>
    <t>전창용</t>
  </si>
  <si>
    <t>조찬미</t>
  </si>
  <si>
    <t>황도규</t>
  </si>
  <si>
    <t>문희경</t>
  </si>
  <si>
    <t>순번</t>
  </si>
  <si>
    <t>닉네임</t>
  </si>
  <si>
    <t>근무점포</t>
  </si>
  <si>
    <t>근로형태</t>
  </si>
  <si>
    <t>대치메가점 사업자</t>
  </si>
  <si>
    <t>삼성</t>
  </si>
  <si>
    <t>삼성메가점 사업자</t>
  </si>
  <si>
    <t>대치</t>
  </si>
  <si>
    <t>기존 대치메가점 건강보험, 국민연금 가입 (직전월 급여신고액 1,350,000원)</t>
  </si>
  <si>
    <t>제리</t>
  </si>
  <si>
    <t>질렌할</t>
  </si>
  <si>
    <t>15시간 미만</t>
  </si>
  <si>
    <t xml:space="preserve">   </t>
  </si>
  <si>
    <t>김신현</t>
  </si>
  <si>
    <t>4대보험 가입 불가</t>
  </si>
  <si>
    <t>_x0008_</t>
  </si>
  <si>
    <t>3.3% 사업소득</t>
  </si>
  <si>
    <t>조성재</t>
  </si>
  <si>
    <t>스완</t>
  </si>
  <si>
    <t>하퍼</t>
  </si>
  <si>
    <t>전경민</t>
  </si>
  <si>
    <t>브이</t>
  </si>
  <si>
    <t>대치 평일 야간</t>
  </si>
  <si>
    <t>박대환</t>
  </si>
  <si>
    <t>이연주</t>
  </si>
  <si>
    <t>줄리아</t>
  </si>
  <si>
    <t>이지은</t>
  </si>
  <si>
    <t>타회사 고용, 산재 가입 중</t>
  </si>
  <si>
    <t>강주은</t>
  </si>
  <si>
    <t>혀니</t>
  </si>
  <si>
    <t>김우진</t>
  </si>
  <si>
    <t>에디</t>
  </si>
  <si>
    <t>유지윤</t>
  </si>
  <si>
    <t>윤</t>
  </si>
  <si>
    <t>김현수</t>
  </si>
  <si>
    <t>유지숙</t>
  </si>
  <si>
    <t>메이</t>
  </si>
  <si>
    <t>김정민</t>
  </si>
  <si>
    <t>JM</t>
  </si>
  <si>
    <t>삼성 평일 야간</t>
  </si>
  <si>
    <t>황지우</t>
  </si>
  <si>
    <t>뮐러</t>
  </si>
  <si>
    <t>_x0008_삼성</t>
  </si>
  <si>
    <t>서희원</t>
  </si>
  <si>
    <t>화련</t>
  </si>
  <si>
    <t>예원</t>
  </si>
  <si>
    <t>03.02 입사</t>
  </si>
  <si>
    <t>김주형</t>
  </si>
  <si>
    <t>2024.04.03 / 020420-3114019 / 대치 주말 야간</t>
  </si>
  <si>
    <t>일</t>
  </si>
  <si>
    <t>월</t>
  </si>
  <si>
    <t>23시까지 영업</t>
  </si>
  <si>
    <t>화</t>
  </si>
  <si>
    <t>추석</t>
  </si>
  <si>
    <t>수</t>
  </si>
  <si>
    <t>07시부터 영업</t>
  </si>
  <si>
    <t>토</t>
  </si>
  <si>
    <t>확</t>
  </si>
  <si>
    <t>설날</t>
  </si>
  <si>
    <t>목</t>
  </si>
  <si>
    <t>13시부터 영업</t>
  </si>
  <si>
    <t>근로자</t>
  </si>
  <si>
    <t>점포</t>
  </si>
  <si>
    <t>주당 근무시간</t>
  </si>
  <si>
    <t>복리후생 포인트</t>
  </si>
  <si>
    <t>점포별 합계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</si>
</sst>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_-;\-* #,##0_-;_-* &quot;-&quot;_-;_-@"/>
    <numFmt numFmtId="165" formatCode="m/d"/>
    <numFmt numFmtId="166" formatCode="0.0"/>
    <numFmt numFmtId="167" formatCode="#,##0.0"/>
    <numFmt numFmtId="168" formatCode="[$₩-412]#,##0"/>
  </numFmts>
  <fonts count="23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rgb="FF000000"/>
      <name val="Arial"/>
    </font>
    <font>
      <sz val="9.0"/>
      <color theme="1"/>
      <name val="Arial"/>
    </font>
    <font>
      <sz val="9.0"/>
      <color rgb="FFFF0000"/>
      <name val="Arial"/>
      <scheme val="minor"/>
    </font>
    <font>
      <sz val="9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/>
    <font>
      <b/>
      <sz val="6.0"/>
      <color theme="1"/>
      <name val="Arial"/>
      <scheme val="minor"/>
    </font>
    <font>
      <b/>
      <sz val="9.0"/>
      <color theme="1"/>
      <name val="Arial"/>
    </font>
    <font>
      <strike/>
      <color theme="1"/>
      <name val="Arial"/>
      <scheme val="minor"/>
    </font>
    <font>
      <color rgb="FF000000"/>
      <name val="Arial"/>
    </font>
    <font>
      <sz val="9.0"/>
      <color theme="1"/>
      <name val="Gulim"/>
    </font>
    <font>
      <color rgb="FFFF0000"/>
      <name val="Arial"/>
      <scheme val="minor"/>
    </font>
    <font>
      <b/>
      <sz val="9.0"/>
      <color rgb="FFFF0000"/>
      <name val="Gulim"/>
    </font>
    <font>
      <b/>
      <sz val="12.0"/>
      <color theme="1"/>
      <name val="Calibri"/>
    </font>
    <font>
      <sz val="12.0"/>
      <color theme="1"/>
      <name val="Calibri"/>
    </font>
    <font>
      <sz val="12.0"/>
      <color theme="1"/>
      <name val="&quot;Malgun Gothic&quot;"/>
    </font>
    <font>
      <b/>
      <sz val="9.0"/>
      <color theme="1"/>
      <name val="Verdana"/>
    </font>
    <font>
      <sz val="9.0"/>
      <color theme="1"/>
      <name val="Verdana"/>
    </font>
    <font>
      <sz val="9.0"/>
      <color rgb="FF000000"/>
      <name val="Verdana"/>
    </font>
  </fonts>
  <fills count="1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10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readingOrder="0" vertical="center"/>
    </xf>
    <xf borderId="3" fillId="3" fontId="2" numFmtId="0" xfId="0" applyAlignment="1" applyBorder="1" applyFont="1">
      <alignment horizontal="center" vertical="center"/>
    </xf>
    <xf borderId="3" fillId="3" fontId="2" numFmtId="164" xfId="0" applyAlignment="1" applyBorder="1" applyFont="1" applyNumberFormat="1">
      <alignment horizontal="center" readingOrder="0" vertical="center"/>
    </xf>
    <xf borderId="4" fillId="3" fontId="2" numFmtId="0" xfId="0" applyAlignment="1" applyBorder="1" applyFont="1">
      <alignment horizontal="center" vertical="center"/>
    </xf>
    <xf borderId="3" fillId="3" fontId="2" numFmtId="3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3" fillId="0" fontId="4" numFmtId="164" xfId="0" applyAlignment="1" applyBorder="1" applyFont="1" applyNumberForma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3" fillId="0" fontId="2" numFmtId="3" xfId="0" applyAlignment="1" applyBorder="1" applyFont="1" applyNumberFormat="1">
      <alignment horizontal="center" vertical="center"/>
    </xf>
    <xf borderId="3" fillId="0" fontId="4" numFmtId="10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0" fontId="4" numFmtId="3" xfId="0" applyAlignment="1" applyBorder="1" applyFont="1" applyNumberFormat="1">
      <alignment horizontal="center" readingOrder="0" vertical="center"/>
    </xf>
    <xf borderId="3" fillId="0" fontId="4" numFmtId="164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2" fillId="0" fontId="4" numFmtId="10" xfId="0" applyAlignment="1" applyBorder="1" applyFont="1" applyNumberFormat="1">
      <alignment horizontal="center" vertical="center"/>
    </xf>
    <xf borderId="3" fillId="0" fontId="2" numFmtId="10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center" vertical="center"/>
    </xf>
    <xf borderId="3" fillId="0" fontId="4" numFmtId="49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5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3" fillId="0" fontId="3" numFmtId="164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vertical="center"/>
    </xf>
    <xf borderId="3" fillId="0" fontId="6" numFmtId="3" xfId="0" applyAlignment="1" applyBorder="1" applyFont="1" applyNumberFormat="1">
      <alignment horizontal="center" vertical="center"/>
    </xf>
    <xf borderId="2" fillId="0" fontId="3" numFmtId="10" xfId="0" applyAlignment="1" applyBorder="1" applyFont="1" applyNumberFormat="1">
      <alignment horizontal="center" vertical="center"/>
    </xf>
    <xf borderId="2" fillId="4" fontId="2" numFmtId="0" xfId="0" applyAlignment="1" applyBorder="1" applyFill="1" applyFont="1">
      <alignment horizontal="center" readingOrder="0" vertical="center"/>
    </xf>
    <xf borderId="3" fillId="4" fontId="4" numFmtId="0" xfId="0" applyAlignment="1" applyBorder="1" applyFont="1">
      <alignment horizontal="center" readingOrder="0" vertical="center"/>
    </xf>
    <xf borderId="3" fillId="4" fontId="4" numFmtId="164" xfId="0" applyAlignment="1" applyBorder="1" applyFont="1" applyNumberFormat="1">
      <alignment horizontal="center" readingOrder="0" vertical="center"/>
    </xf>
    <xf borderId="4" fillId="4" fontId="4" numFmtId="0" xfId="0" applyAlignment="1" applyBorder="1" applyFont="1">
      <alignment horizontal="center" readingOrder="0" vertical="center"/>
    </xf>
    <xf borderId="3" fillId="4" fontId="2" numFmtId="0" xfId="0" applyAlignment="1" applyBorder="1" applyFont="1">
      <alignment horizontal="center" vertical="center"/>
    </xf>
    <xf borderId="3" fillId="4" fontId="2" numFmtId="3" xfId="0" applyAlignment="1" applyBorder="1" applyFont="1" applyNumberFormat="1">
      <alignment horizontal="center" readingOrder="0" vertical="center"/>
    </xf>
    <xf borderId="3" fillId="4" fontId="4" numFmtId="10" xfId="0" applyAlignment="1" applyBorder="1" applyFont="1" applyNumberFormat="1">
      <alignment horizontal="center" vertical="center"/>
    </xf>
    <xf borderId="3" fillId="4" fontId="2" numFmtId="0" xfId="0" applyAlignment="1" applyBorder="1" applyFont="1">
      <alignment horizontal="center" readingOrder="0" vertical="center"/>
    </xf>
    <xf borderId="3" fillId="4" fontId="4" numFmtId="164" xfId="0" applyAlignment="1" applyBorder="1" applyFont="1" applyNumberFormat="1">
      <alignment horizontal="center" vertical="center"/>
    </xf>
    <xf borderId="3" fillId="4" fontId="4" numFmtId="49" xfId="0" applyAlignment="1" applyBorder="1" applyFont="1" applyNumberForma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3" fillId="2" fontId="4" numFmtId="164" xfId="0" applyAlignment="1" applyBorder="1" applyFont="1" applyNumberFormat="1">
      <alignment horizontal="center" vertical="center"/>
    </xf>
    <xf borderId="4" fillId="2" fontId="4" numFmtId="0" xfId="0" applyAlignment="1" applyBorder="1" applyFont="1">
      <alignment horizontal="center" vertical="center"/>
    </xf>
    <xf borderId="3" fillId="2" fontId="7" numFmtId="3" xfId="0" applyAlignment="1" applyBorder="1" applyFont="1" applyNumberFormat="1">
      <alignment horizontal="center" readingOrder="0" vertical="center"/>
    </xf>
    <xf borderId="3" fillId="2" fontId="4" numFmtId="3" xfId="0" applyAlignment="1" applyBorder="1" applyFont="1" applyNumberFormat="1">
      <alignment horizontal="center" vertical="center"/>
    </xf>
    <xf borderId="3" fillId="2" fontId="4" numFmtId="10" xfId="0" applyAlignment="1" applyBorder="1" applyFont="1" applyNumberFormat="1">
      <alignment horizontal="center" vertical="center"/>
    </xf>
    <xf borderId="3" fillId="2" fontId="7" numFmtId="10" xfId="0" applyAlignment="1" applyBorder="1" applyFont="1" applyNumberFormat="1">
      <alignment horizontal="center" vertical="center"/>
    </xf>
    <xf borderId="3" fillId="2" fontId="2" numFmtId="0" xfId="0" applyAlignment="1" applyBorder="1" applyFont="1">
      <alignment horizontal="center" readingOrder="0" vertical="center"/>
    </xf>
    <xf borderId="3" fillId="2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2" numFmtId="3" xfId="0" applyAlignment="1" applyFont="1" applyNumberFormat="1">
      <alignment horizontal="center" vertical="center"/>
    </xf>
    <xf borderId="5" fillId="5" fontId="1" numFmtId="0" xfId="0" applyAlignment="1" applyBorder="1" applyFill="1" applyFont="1">
      <alignment horizontal="center" readingOrder="0" vertical="center"/>
    </xf>
    <xf borderId="1" fillId="0" fontId="9" numFmtId="0" xfId="0" applyBorder="1" applyFont="1"/>
    <xf borderId="6" fillId="0" fontId="9" numFmtId="0" xfId="0" applyBorder="1" applyFont="1"/>
    <xf borderId="5" fillId="6" fontId="1" numFmtId="0" xfId="0" applyAlignment="1" applyBorder="1" applyFill="1" applyFont="1">
      <alignment horizontal="center" readingOrder="0" vertical="center"/>
    </xf>
    <xf borderId="5" fillId="7" fontId="1" numFmtId="0" xfId="0" applyAlignment="1" applyBorder="1" applyFill="1" applyFont="1">
      <alignment horizontal="center" readingOrder="0" vertical="center"/>
    </xf>
    <xf borderId="7" fillId="5" fontId="1" numFmtId="0" xfId="0" applyAlignment="1" applyBorder="1" applyFont="1">
      <alignment horizontal="center" readingOrder="0" vertical="center"/>
    </xf>
    <xf borderId="3" fillId="0" fontId="9" numFmtId="0" xfId="0" applyBorder="1" applyFont="1"/>
    <xf borderId="2" fillId="2" fontId="10" numFmtId="0" xfId="0" applyAlignment="1" applyBorder="1" applyFont="1">
      <alignment horizontal="center" readingOrder="0" vertical="center"/>
    </xf>
    <xf borderId="2" fillId="8" fontId="2" numFmtId="0" xfId="0" applyAlignment="1" applyBorder="1" applyFill="1" applyFont="1">
      <alignment horizontal="center" readingOrder="0" vertical="center"/>
    </xf>
    <xf borderId="5" fillId="8" fontId="7" numFmtId="0" xfId="0" applyAlignment="1" applyBorder="1" applyFont="1">
      <alignment horizontal="center" readingOrder="0"/>
    </xf>
    <xf borderId="2" fillId="9" fontId="2" numFmtId="4" xfId="0" applyAlignment="1" applyBorder="1" applyFill="1" applyFont="1" applyNumberFormat="1">
      <alignment horizontal="center" readingOrder="0" vertical="center"/>
    </xf>
    <xf borderId="2" fillId="9" fontId="4" numFmtId="4" xfId="0" applyAlignment="1" applyBorder="1" applyFont="1" applyNumberFormat="1">
      <alignment horizontal="center" readingOrder="0" vertical="center"/>
    </xf>
    <xf borderId="5" fillId="6" fontId="2" numFmtId="0" xfId="0" applyAlignment="1" applyBorder="1" applyFont="1">
      <alignment horizontal="center" readingOrder="0" vertical="center"/>
    </xf>
    <xf borderId="5" fillId="7" fontId="2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/>
    </xf>
    <xf borderId="2" fillId="0" fontId="4" numFmtId="20" xfId="0" applyAlignment="1" applyBorder="1" applyFont="1" applyNumberFormat="1">
      <alignment horizontal="center" readingOrder="0"/>
    </xf>
    <xf borderId="2" fillId="0" fontId="4" numFmtId="20" xfId="0" applyAlignment="1" applyBorder="1" applyFont="1" applyNumberFormat="1">
      <alignment horizontal="center"/>
    </xf>
    <xf borderId="2" fillId="0" fontId="3" numFmtId="0" xfId="0" applyAlignment="1" applyBorder="1" applyFont="1">
      <alignment horizontal="center" readingOrder="0" vertical="bottom"/>
    </xf>
    <xf borderId="2" fillId="0" fontId="3" numFmtId="20" xfId="0" applyAlignment="1" applyBorder="1" applyFont="1" applyNumberFormat="1">
      <alignment horizontal="center" readingOrder="0" vertical="bottom"/>
    </xf>
    <xf borderId="2" fillId="0" fontId="3" numFmtId="20" xfId="0" applyAlignment="1" applyBorder="1" applyFont="1" applyNumberFormat="1">
      <alignment vertical="bottom"/>
    </xf>
    <xf borderId="2" fillId="0" fontId="3" numFmtId="20" xfId="0" applyAlignment="1" applyBorder="1" applyFont="1" applyNumberFormat="1">
      <alignment horizontal="center" vertical="bottom"/>
    </xf>
    <xf borderId="2" fillId="0" fontId="3" numFmtId="0" xfId="0" applyAlignment="1" applyBorder="1" applyFont="1">
      <alignment horizontal="center" vertical="bottom"/>
    </xf>
    <xf borderId="0" fillId="0" fontId="4" numFmtId="20" xfId="0" applyAlignment="1" applyFont="1" applyNumberFormat="1">
      <alignment readingOrder="0"/>
    </xf>
    <xf borderId="2" fillId="0" fontId="4" numFmtId="0" xfId="0" applyAlignment="1" applyBorder="1" applyFont="1">
      <alignment horizontal="center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center"/>
    </xf>
    <xf borderId="2" fillId="0" fontId="3" numFmtId="20" xfId="0" applyAlignment="1" applyBorder="1" applyFont="1" applyNumberFormat="1">
      <alignment horizontal="center"/>
    </xf>
    <xf borderId="2" fillId="0" fontId="3" numFmtId="0" xfId="0" applyAlignment="1" applyBorder="1" applyFont="1">
      <alignment horizontal="center" readingOrder="0" vertical="center"/>
    </xf>
    <xf borderId="2" fillId="0" fontId="3" numFmtId="20" xfId="0" applyAlignment="1" applyBorder="1" applyFont="1" applyNumberFormat="1">
      <alignment horizontal="center" readingOrder="0" vertical="center"/>
    </xf>
    <xf borderId="2" fillId="8" fontId="4" numFmtId="0" xfId="0" applyAlignment="1" applyBorder="1" applyFont="1">
      <alignment horizontal="center" readingOrder="0" vertical="center"/>
    </xf>
    <xf borderId="5" fillId="8" fontId="4" numFmtId="0" xfId="0" applyAlignment="1" applyBorder="1" applyFont="1">
      <alignment horizontal="center" readingOrder="0"/>
    </xf>
    <xf borderId="5" fillId="6" fontId="4" numFmtId="0" xfId="0" applyAlignment="1" applyBorder="1" applyFont="1">
      <alignment horizontal="center" readingOrder="0" vertical="center"/>
    </xf>
    <xf borderId="5" fillId="7" fontId="4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/>
    </xf>
    <xf borderId="5" fillId="8" fontId="3" numFmtId="0" xfId="0" applyAlignment="1" applyBorder="1" applyFont="1">
      <alignment horizontal="center" readingOrder="0" vertical="center"/>
    </xf>
    <xf borderId="5" fillId="6" fontId="3" numFmtId="0" xfId="0" applyAlignment="1" applyBorder="1" applyFont="1">
      <alignment horizontal="center" readingOrder="0" vertical="center"/>
    </xf>
    <xf borderId="5" fillId="7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2" fillId="0" fontId="3" numFmtId="20" xfId="0" applyAlignment="1" applyBorder="1" applyFont="1" applyNumberFormat="1">
      <alignment horizontal="center" vertical="center"/>
    </xf>
    <xf borderId="5" fillId="8" fontId="2" numFmtId="0" xfId="0" applyAlignment="1" applyBorder="1" applyFont="1">
      <alignment horizontal="center" readingOrder="0" vertical="center"/>
    </xf>
    <xf borderId="5" fillId="7" fontId="2" numFmtId="165" xfId="0" applyAlignment="1" applyBorder="1" applyFont="1" applyNumberFormat="1">
      <alignment horizontal="center" readingOrder="0" vertical="center"/>
    </xf>
    <xf borderId="2" fillId="0" fontId="2" numFmtId="20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2" fillId="0" fontId="2" numFmtId="20" xfId="0" applyAlignment="1" applyBorder="1" applyFont="1" applyNumberFormat="1">
      <alignment horizontal="center" vertical="center"/>
    </xf>
    <xf borderId="2" fillId="0" fontId="2" numFmtId="4" xfId="0" applyAlignment="1" applyBorder="1" applyFont="1" applyNumberFormat="1">
      <alignment horizontal="center" readingOrder="0" vertical="center"/>
    </xf>
    <xf borderId="2" fillId="8" fontId="1" numFmtId="0" xfId="0" applyAlignment="1" applyBorder="1" applyFont="1">
      <alignment horizontal="center" readingOrder="0" vertical="center"/>
    </xf>
    <xf borderId="2" fillId="8" fontId="1" numFmtId="0" xfId="0" applyAlignment="1" applyBorder="1" applyFont="1">
      <alignment horizontal="right" readingOrder="0" vertical="center"/>
    </xf>
    <xf borderId="2" fillId="8" fontId="1" numFmtId="166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vertical="center"/>
    </xf>
    <xf borderId="2" fillId="8" fontId="11" numFmtId="0" xfId="0" applyAlignment="1" applyBorder="1" applyFont="1">
      <alignment horizontal="center"/>
    </xf>
    <xf borderId="2" fillId="10" fontId="11" numFmtId="0" xfId="0" applyAlignment="1" applyBorder="1" applyFill="1" applyFont="1">
      <alignment horizontal="center"/>
    </xf>
    <xf borderId="2" fillId="0" fontId="2" numFmtId="0" xfId="0" applyAlignment="1" applyBorder="1" applyFont="1">
      <alignment readingOrder="0" vertical="center"/>
    </xf>
    <xf borderId="2" fillId="7" fontId="2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vertical="bottom"/>
    </xf>
    <xf borderId="2" fillId="0" fontId="6" numFmtId="166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horizontal="center" vertical="center"/>
    </xf>
    <xf borderId="2" fillId="0" fontId="6" numFmtId="3" xfId="0" applyAlignment="1" applyBorder="1" applyFont="1" applyNumberFormat="1">
      <alignment readingOrder="0" vertical="center"/>
    </xf>
    <xf borderId="2" fillId="0" fontId="6" numFmtId="3" xfId="0" applyAlignment="1" applyBorder="1" applyFont="1" applyNumberFormat="1">
      <alignment vertical="center"/>
    </xf>
    <xf borderId="2" fillId="0" fontId="2" numFmtId="167" xfId="0" applyAlignment="1" applyBorder="1" applyFont="1" applyNumberFormat="1">
      <alignment vertical="center"/>
    </xf>
    <xf borderId="2" fillId="0" fontId="2" numFmtId="3" xfId="0" applyAlignment="1" applyBorder="1" applyFont="1" applyNumberFormat="1">
      <alignment vertical="center"/>
    </xf>
    <xf borderId="2" fillId="0" fontId="4" numFmtId="3" xfId="0" applyAlignment="1" applyBorder="1" applyFont="1" applyNumberFormat="1">
      <alignment horizontal="right" readingOrder="0" vertical="center"/>
    </xf>
    <xf borderId="2" fillId="0" fontId="4" numFmtId="3" xfId="0" applyAlignment="1" applyBorder="1" applyFont="1" applyNumberFormat="1">
      <alignment horizontal="right" vertical="center"/>
    </xf>
    <xf borderId="2" fillId="0" fontId="2" numFmtId="0" xfId="0" applyAlignment="1" applyBorder="1" applyFont="1">
      <alignment horizontal="center" vertical="center"/>
    </xf>
    <xf borderId="2" fillId="0" fontId="8" numFmtId="0" xfId="0" applyBorder="1" applyFont="1"/>
    <xf borderId="2" fillId="0" fontId="2" numFmtId="0" xfId="0" applyAlignment="1" applyBorder="1" applyFont="1">
      <alignment vertical="center"/>
    </xf>
    <xf borderId="2" fillId="11" fontId="3" numFmtId="0" xfId="0" applyAlignment="1" applyBorder="1" applyFill="1" applyFont="1">
      <alignment horizontal="center"/>
    </xf>
    <xf borderId="2" fillId="11" fontId="4" numFmtId="10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center" vertical="bottom"/>
    </xf>
    <xf borderId="2" fillId="12" fontId="6" numFmtId="0" xfId="0" applyAlignment="1" applyBorder="1" applyFill="1" applyFont="1">
      <alignment horizontal="center" readingOrder="0" vertical="center"/>
    </xf>
    <xf borderId="2" fillId="12" fontId="4" numFmtId="10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readingOrder="0" vertical="center"/>
    </xf>
    <xf borderId="2" fillId="0" fontId="2" numFmtId="4" xfId="0" applyAlignment="1" applyBorder="1" applyFont="1" applyNumberFormat="1">
      <alignment vertical="center"/>
    </xf>
    <xf borderId="2" fillId="0" fontId="4" numFmtId="0" xfId="0" applyAlignment="1" applyBorder="1" applyFont="1">
      <alignment horizontal="center" vertical="center"/>
    </xf>
    <xf borderId="2" fillId="0" fontId="6" numFmtId="2" xfId="0" applyAlignment="1" applyBorder="1" applyFont="1" applyNumberFormat="1">
      <alignment horizontal="center" vertical="center"/>
    </xf>
    <xf borderId="2" fillId="4" fontId="2" numFmtId="167" xfId="0" applyAlignment="1" applyBorder="1" applyFont="1" applyNumberFormat="1">
      <alignment vertical="center"/>
    </xf>
    <xf borderId="2" fillId="4" fontId="2" numFmtId="3" xfId="0" applyAlignment="1" applyBorder="1" applyFont="1" applyNumberFormat="1">
      <alignment vertical="center"/>
    </xf>
    <xf borderId="2" fillId="4" fontId="4" numFmtId="3" xfId="0" applyAlignment="1" applyBorder="1" applyFont="1" applyNumberFormat="1">
      <alignment horizontal="right" readingOrder="0" vertical="center"/>
    </xf>
    <xf borderId="2" fillId="4" fontId="4" numFmtId="3" xfId="0" applyAlignment="1" applyBorder="1" applyFont="1" applyNumberFormat="1">
      <alignment horizontal="right" vertical="center"/>
    </xf>
    <xf borderId="2" fillId="11" fontId="2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horizontal="center"/>
    </xf>
    <xf borderId="2" fillId="4" fontId="4" numFmtId="10" xfId="0" applyAlignment="1" applyBorder="1" applyFont="1" applyNumberFormat="1">
      <alignment horizontal="center" vertical="center"/>
    </xf>
    <xf borderId="2" fillId="12" fontId="2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readingOrder="0"/>
    </xf>
    <xf borderId="0" fillId="0" fontId="2" numFmtId="0" xfId="0" applyAlignment="1" applyFont="1">
      <alignment readingOrder="0" vertical="center"/>
    </xf>
    <xf borderId="2" fillId="6" fontId="2" numFmtId="0" xfId="0" applyAlignment="1" applyBorder="1" applyFont="1">
      <alignment horizontal="center" readingOrder="0" vertical="center"/>
    </xf>
    <xf borderId="2" fillId="9" fontId="2" numFmtId="0" xfId="0" applyAlignment="1" applyBorder="1" applyFont="1">
      <alignment horizontal="center" readingOrder="0" vertical="center"/>
    </xf>
    <xf borderId="0" fillId="0" fontId="2" numFmtId="166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2" fillId="3" fontId="2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vertical="center"/>
    </xf>
    <xf borderId="2" fillId="3" fontId="2" numFmtId="164" xfId="0" applyAlignment="1" applyBorder="1" applyFont="1" applyNumberFormat="1">
      <alignment horizontal="center" readingOrder="0" vertical="center"/>
    </xf>
    <xf borderId="2" fillId="3" fontId="2" numFmtId="3" xfId="0" applyAlignment="1" applyBorder="1" applyFont="1" applyNumberFormat="1">
      <alignment horizontal="right" vertical="center"/>
    </xf>
    <xf borderId="2" fillId="0" fontId="3" numFmtId="0" xfId="0" applyAlignment="1" applyBorder="1" applyFont="1">
      <alignment horizontal="center" vertical="center"/>
    </xf>
    <xf borderId="2" fillId="0" fontId="4" numFmtId="164" xfId="0" applyAlignment="1" applyBorder="1" applyFont="1" applyNumberFormat="1">
      <alignment horizontal="center" vertical="center"/>
    </xf>
    <xf borderId="2" fillId="0" fontId="2" numFmtId="3" xfId="0" applyAlignment="1" applyBorder="1" applyFont="1" applyNumberFormat="1">
      <alignment horizontal="right" vertical="center"/>
    </xf>
    <xf borderId="2" fillId="0" fontId="4" numFmtId="164" xfId="0" applyAlignment="1" applyBorder="1" applyFont="1" applyNumberFormat="1">
      <alignment vertical="center"/>
    </xf>
    <xf borderId="2" fillId="0" fontId="4" numFmtId="49" xfId="0" applyAlignment="1" applyBorder="1" applyFont="1" applyNumberFormat="1">
      <alignment vertical="center"/>
    </xf>
    <xf borderId="2" fillId="0" fontId="3" numFmtId="164" xfId="0" applyAlignment="1" applyBorder="1" applyFont="1" applyNumberFormat="1">
      <alignment horizontal="center" readingOrder="0" vertical="center"/>
    </xf>
    <xf borderId="2" fillId="0" fontId="4" numFmtId="164" xfId="0" applyAlignment="1" applyBorder="1" applyFont="1" applyNumberFormat="1">
      <alignment horizontal="center" readingOrder="0" vertical="center"/>
    </xf>
    <xf borderId="2" fillId="0" fontId="4" numFmtId="49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bottom"/>
    </xf>
    <xf borderId="2" fillId="0" fontId="4" numFmtId="0" xfId="0" applyAlignment="1" applyBorder="1" applyFont="1">
      <alignment vertical="center"/>
    </xf>
    <xf borderId="2" fillId="13" fontId="2" numFmtId="0" xfId="0" applyAlignment="1" applyBorder="1" applyFill="1" applyFont="1">
      <alignment horizontal="center" readingOrder="0" vertical="center"/>
    </xf>
    <xf borderId="2" fillId="13" fontId="4" numFmtId="0" xfId="0" applyAlignment="1" applyBorder="1" applyFont="1">
      <alignment horizontal="center" readingOrder="0" vertical="center"/>
    </xf>
    <xf borderId="2" fillId="13" fontId="3" numFmtId="0" xfId="0" applyAlignment="1" applyBorder="1" applyFont="1">
      <alignment horizontal="center" readingOrder="0" vertical="center"/>
    </xf>
    <xf borderId="2" fillId="13" fontId="4" numFmtId="164" xfId="0" applyAlignment="1" applyBorder="1" applyFont="1" applyNumberFormat="1">
      <alignment horizontal="center" readingOrder="0" vertical="center"/>
    </xf>
    <xf borderId="2" fillId="13" fontId="4" numFmtId="49" xfId="0" applyAlignment="1" applyBorder="1" applyFont="1" applyNumberFormat="1">
      <alignment horizontal="center" readingOrder="0" vertical="center"/>
    </xf>
    <xf borderId="2" fillId="13" fontId="4" numFmtId="0" xfId="0" applyAlignment="1" applyBorder="1" applyFont="1">
      <alignment horizontal="center" vertical="center"/>
    </xf>
    <xf borderId="2" fillId="13" fontId="2" numFmtId="3" xfId="0" applyAlignment="1" applyBorder="1" applyFont="1" applyNumberFormat="1">
      <alignment horizontal="right" vertical="center"/>
    </xf>
    <xf borderId="2" fillId="13" fontId="4" numFmtId="0" xfId="0" applyAlignment="1" applyBorder="1" applyFont="1">
      <alignment horizontal="center" vertical="center"/>
    </xf>
    <xf borderId="2" fillId="13" fontId="4" numFmtId="0" xfId="0" applyAlignment="1" applyBorder="1" applyFont="1">
      <alignment vertical="center"/>
    </xf>
    <xf borderId="2" fillId="13" fontId="4" numFmtId="164" xfId="0" applyAlignment="1" applyBorder="1" applyFont="1" applyNumberFormat="1">
      <alignment vertical="center"/>
    </xf>
    <xf borderId="2" fillId="13" fontId="4" numFmtId="49" xfId="0" applyAlignment="1" applyBorder="1" applyFont="1" applyNumberFormat="1">
      <alignment vertical="center"/>
    </xf>
    <xf borderId="0" fillId="0" fontId="12" numFmtId="0" xfId="0" applyFont="1"/>
    <xf borderId="2" fillId="0" fontId="4" numFmtId="0" xfId="0" applyAlignment="1" applyBorder="1" applyFont="1">
      <alignment horizontal="center" readingOrder="0" vertical="bottom"/>
    </xf>
    <xf borderId="2" fillId="5" fontId="2" numFmtId="0" xfId="0" applyAlignment="1" applyBorder="1" applyFont="1">
      <alignment horizontal="center" readingOrder="0" vertical="center"/>
    </xf>
    <xf borderId="2" fillId="5" fontId="4" numFmtId="0" xfId="0" applyAlignment="1" applyBorder="1" applyFont="1">
      <alignment horizontal="center" readingOrder="0" vertical="center"/>
    </xf>
    <xf borderId="2" fillId="5" fontId="3" numFmtId="0" xfId="0" applyAlignment="1" applyBorder="1" applyFont="1">
      <alignment horizontal="center" readingOrder="0" vertical="center"/>
    </xf>
    <xf borderId="2" fillId="5" fontId="4" numFmtId="164" xfId="0" applyAlignment="1" applyBorder="1" applyFont="1" applyNumberFormat="1">
      <alignment horizontal="center" readingOrder="0" vertical="center"/>
    </xf>
    <xf borderId="2" fillId="5" fontId="4" numFmtId="49" xfId="0" applyAlignment="1" applyBorder="1" applyFont="1" applyNumberFormat="1">
      <alignment vertical="center"/>
    </xf>
    <xf borderId="2" fillId="5" fontId="4" numFmtId="164" xfId="0" applyAlignment="1" applyBorder="1" applyFont="1" applyNumberFormat="1">
      <alignment horizontal="center" vertical="center"/>
    </xf>
    <xf borderId="2" fillId="5" fontId="4" numFmtId="0" xfId="0" applyAlignment="1" applyBorder="1" applyFont="1">
      <alignment horizontal="center" vertical="center"/>
    </xf>
    <xf borderId="2" fillId="5" fontId="2" numFmtId="3" xfId="0" applyAlignment="1" applyBorder="1" applyFont="1" applyNumberFormat="1">
      <alignment horizontal="right" readingOrder="0" vertical="center"/>
    </xf>
    <xf borderId="2" fillId="5" fontId="4" numFmtId="3" xfId="0" applyAlignment="1" applyBorder="1" applyFont="1" applyNumberFormat="1">
      <alignment horizontal="right" readingOrder="0" vertical="center"/>
    </xf>
    <xf borderId="2" fillId="5" fontId="4" numFmtId="10" xfId="0" applyAlignment="1" applyBorder="1" applyFont="1" applyNumberFormat="1">
      <alignment horizontal="center" vertical="center"/>
    </xf>
    <xf borderId="2" fillId="5" fontId="4" numFmtId="0" xfId="0" applyAlignment="1" applyBorder="1" applyFont="1">
      <alignment vertical="center"/>
    </xf>
    <xf borderId="2" fillId="5" fontId="4" numFmtId="0" xfId="0" applyAlignment="1" applyBorder="1" applyFont="1">
      <alignment horizontal="center" vertical="center"/>
    </xf>
    <xf borderId="2" fillId="5" fontId="3" numFmtId="0" xfId="0" applyAlignment="1" applyBorder="1" applyFont="1">
      <alignment horizontal="center" vertical="center"/>
    </xf>
    <xf borderId="2" fillId="5" fontId="2" numFmtId="3" xfId="0" applyAlignment="1" applyBorder="1" applyFont="1" applyNumberFormat="1">
      <alignment horizontal="right" vertical="center"/>
    </xf>
    <xf borderId="2" fillId="5" fontId="4" numFmtId="3" xfId="0" applyAlignment="1" applyBorder="1" applyFont="1" applyNumberFormat="1">
      <alignment horizontal="right" vertical="center"/>
    </xf>
    <xf borderId="0" fillId="0" fontId="8" numFmtId="0" xfId="0" applyAlignment="1" applyFont="1">
      <alignment vertical="center"/>
    </xf>
    <xf borderId="0" fillId="0" fontId="8" numFmtId="3" xfId="0" applyAlignment="1" applyFont="1" applyNumberFormat="1">
      <alignment vertical="center"/>
    </xf>
    <xf borderId="2" fillId="0" fontId="3" numFmtId="0" xfId="0" applyAlignment="1" applyBorder="1" applyFont="1">
      <alignment horizontal="center" readingOrder="0"/>
    </xf>
    <xf borderId="2" fillId="0" fontId="3" numFmtId="20" xfId="0" applyAlignment="1" applyBorder="1" applyFont="1" applyNumberFormat="1">
      <alignment horizontal="center" readingOrder="0"/>
    </xf>
    <xf borderId="2" fillId="9" fontId="6" numFmtId="4" xfId="0" applyAlignment="1" applyBorder="1" applyFont="1" applyNumberFormat="1">
      <alignment horizontal="center" readingOrder="0" vertical="center"/>
    </xf>
    <xf borderId="2" fillId="0" fontId="6" numFmtId="20" xfId="0" applyAlignment="1" applyBorder="1" applyFont="1" applyNumberFormat="1">
      <alignment horizontal="center" readingOrder="0" vertical="center"/>
    </xf>
    <xf borderId="2" fillId="0" fontId="6" numFmtId="4" xfId="0" applyAlignment="1" applyBorder="1" applyFont="1" applyNumberFormat="1">
      <alignment horizontal="center" readingOrder="0" vertical="center"/>
    </xf>
    <xf borderId="0" fillId="0" fontId="7" numFmtId="0" xfId="0" applyFont="1"/>
    <xf borderId="2" fillId="4" fontId="6" numFmtId="0" xfId="0" applyAlignment="1" applyBorder="1" applyFont="1">
      <alignment horizontal="center" readingOrder="0" vertical="center"/>
    </xf>
    <xf borderId="2" fillId="4" fontId="6" numFmtId="20" xfId="0" applyAlignment="1" applyBorder="1" applyFont="1" applyNumberFormat="1">
      <alignment horizontal="center" readingOrder="0" vertical="center"/>
    </xf>
    <xf borderId="2" fillId="4" fontId="6" numFmtId="4" xfId="0" applyAlignment="1" applyBorder="1" applyFont="1" applyNumberFormat="1">
      <alignment horizontal="center" readingOrder="0" vertical="center"/>
    </xf>
    <xf borderId="2" fillId="4" fontId="3" numFmtId="0" xfId="0" applyAlignment="1" applyBorder="1" applyFont="1">
      <alignment horizontal="center" readingOrder="0"/>
    </xf>
    <xf borderId="2" fillId="4" fontId="3" numFmtId="20" xfId="0" applyAlignment="1" applyBorder="1" applyFont="1" applyNumberFormat="1">
      <alignment horizontal="center" readingOrder="0"/>
    </xf>
    <xf borderId="2" fillId="4" fontId="3" numFmtId="20" xfId="0" applyAlignment="1" applyBorder="1" applyFont="1" applyNumberFormat="1">
      <alignment horizontal="center"/>
    </xf>
    <xf borderId="5" fillId="8" fontId="13" numFmtId="0" xfId="0" applyAlignment="1" applyBorder="1" applyFont="1">
      <alignment horizontal="center" readingOrder="0"/>
    </xf>
    <xf borderId="5" fillId="6" fontId="6" numFmtId="0" xfId="0" applyAlignment="1" applyBorder="1" applyFont="1">
      <alignment horizontal="center" readingOrder="0" vertical="center"/>
    </xf>
    <xf borderId="5" fillId="7" fontId="6" numFmtId="0" xfId="0" applyAlignment="1" applyBorder="1" applyFont="1">
      <alignment horizontal="center" readingOrder="0" vertical="center"/>
    </xf>
    <xf borderId="5" fillId="8" fontId="6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vertical="center"/>
    </xf>
    <xf borderId="2" fillId="0" fontId="6" numFmtId="20" xfId="0" applyAlignment="1" applyBorder="1" applyFont="1" applyNumberFormat="1">
      <alignment horizontal="center" vertical="center"/>
    </xf>
    <xf borderId="2" fillId="9" fontId="6" numFmtId="20" xfId="0" applyAlignment="1" applyBorder="1" applyFont="1" applyNumberFormat="1">
      <alignment horizontal="center" readingOrder="0" vertical="center"/>
    </xf>
    <xf borderId="5" fillId="7" fontId="6" numFmtId="165" xfId="0" applyAlignment="1" applyBorder="1" applyFont="1" applyNumberForma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15" numFmtId="0" xfId="0" applyAlignment="1" applyFont="1">
      <alignment readingOrder="0" vertical="center"/>
    </xf>
    <xf borderId="0" fillId="0" fontId="14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horizontal="center" readingOrder="0" vertical="center"/>
    </xf>
    <xf borderId="2" fillId="8" fontId="1" numFmtId="0" xfId="0" applyAlignment="1" applyBorder="1" applyFont="1">
      <alignment horizontal="left" readingOrder="0" vertical="center"/>
    </xf>
    <xf borderId="2" fillId="8" fontId="1" numFmtId="4" xfId="0" applyAlignment="1" applyBorder="1" applyFont="1" applyNumberFormat="1">
      <alignment horizontal="center" readingOrder="0" vertical="center"/>
    </xf>
    <xf borderId="2" fillId="0" fontId="2" numFmtId="3" xfId="0" applyAlignment="1" applyBorder="1" applyFont="1" applyNumberFormat="1">
      <alignment readingOrder="0" vertical="center"/>
    </xf>
    <xf borderId="2" fillId="0" fontId="4" numFmtId="3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left" readingOrder="0" vertical="center"/>
    </xf>
    <xf borderId="2" fillId="0" fontId="6" numFmtId="0" xfId="0" applyAlignment="1" applyBorder="1" applyFont="1">
      <alignment horizontal="left" readingOrder="0" vertical="center"/>
    </xf>
    <xf borderId="2" fillId="11" fontId="4" numFmtId="0" xfId="0" applyAlignment="1" applyBorder="1" applyFont="1">
      <alignment horizontal="center" readingOrder="0" vertical="center"/>
    </xf>
    <xf borderId="2" fillId="11" fontId="4" numFmtId="0" xfId="0" applyAlignment="1" applyBorder="1" applyFont="1">
      <alignment horizontal="center" vertical="center"/>
    </xf>
    <xf borderId="2" fillId="11" fontId="2" numFmtId="3" xfId="0" applyAlignment="1" applyBorder="1" applyFont="1" applyNumberFormat="1">
      <alignment vertical="center"/>
    </xf>
    <xf borderId="2" fillId="14" fontId="4" numFmtId="0" xfId="0" applyAlignment="1" applyBorder="1" applyFill="1" applyFont="1">
      <alignment horizontal="center" vertical="center"/>
    </xf>
    <xf borderId="2" fillId="14" fontId="4" numFmtId="10" xfId="0" applyAlignment="1" applyBorder="1" applyFont="1" applyNumberFormat="1">
      <alignment horizontal="center" vertical="center"/>
    </xf>
    <xf borderId="2" fillId="11" fontId="4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/>
    </xf>
    <xf borderId="2" fillId="11" fontId="4" numFmtId="0" xfId="0" applyAlignment="1" applyBorder="1" applyFont="1">
      <alignment horizontal="center" readingOrder="0"/>
    </xf>
    <xf borderId="0" fillId="0" fontId="2" numFmtId="4" xfId="0" applyAlignment="1" applyFont="1" applyNumberFormat="1">
      <alignment vertical="center"/>
    </xf>
    <xf borderId="2" fillId="0" fontId="5" numFmtId="0" xfId="0" applyAlignment="1" applyBorder="1" applyFont="1">
      <alignment horizontal="left" readingOrder="0" vertical="center"/>
    </xf>
    <xf borderId="0" fillId="0" fontId="7" numFmtId="0" xfId="0" applyAlignment="1" applyFont="1">
      <alignment vertical="bottom"/>
    </xf>
    <xf borderId="2" fillId="2" fontId="17" numFmtId="0" xfId="0" applyAlignment="1" applyBorder="1" applyFont="1">
      <alignment horizontal="center"/>
    </xf>
    <xf borderId="1" fillId="2" fontId="17" numFmtId="0" xfId="0" applyAlignment="1" applyBorder="1" applyFont="1">
      <alignment horizontal="center"/>
    </xf>
    <xf borderId="1" fillId="2" fontId="17" numFmtId="0" xfId="0" applyAlignment="1" applyBorder="1" applyFont="1">
      <alignment horizontal="center" readingOrder="0"/>
    </xf>
    <xf borderId="4" fillId="0" fontId="18" numFmtId="0" xfId="0" applyAlignment="1" applyBorder="1" applyFont="1">
      <alignment horizontal="center"/>
    </xf>
    <xf borderId="3" fillId="0" fontId="18" numFmtId="0" xfId="0" applyAlignment="1" applyBorder="1" applyFont="1">
      <alignment horizontal="center"/>
    </xf>
    <xf borderId="3" fillId="0" fontId="18" numFmtId="0" xfId="0" applyAlignment="1" applyBorder="1" applyFont="1">
      <alignment horizontal="center" readingOrder="0"/>
    </xf>
    <xf borderId="3" fillId="0" fontId="18" numFmtId="0" xfId="0" applyBorder="1" applyFont="1"/>
    <xf borderId="4" fillId="0" fontId="18" numFmtId="0" xfId="0" applyAlignment="1" applyBorder="1" applyFont="1">
      <alignment horizontal="center" readingOrder="0"/>
    </xf>
    <xf borderId="3" fillId="4" fontId="18" numFmtId="0" xfId="0" applyAlignment="1" applyBorder="1" applyFont="1">
      <alignment horizontal="center" readingOrder="0"/>
    </xf>
    <xf borderId="3" fillId="4" fontId="18" numFmtId="0" xfId="0" applyBorder="1" applyFont="1"/>
    <xf borderId="3" fillId="4" fontId="18" numFmtId="0" xfId="0" applyAlignment="1" applyBorder="1" applyFont="1">
      <alignment horizontal="center"/>
    </xf>
    <xf borderId="3" fillId="15" fontId="18" numFmtId="0" xfId="0" applyAlignment="1" applyBorder="1" applyFill="1" applyFont="1">
      <alignment horizontal="center" readingOrder="0"/>
    </xf>
    <xf borderId="3" fillId="15" fontId="18" numFmtId="0" xfId="0" applyBorder="1" applyFont="1"/>
    <xf borderId="3" fillId="0" fontId="19" numFmtId="0" xfId="0" applyBorder="1" applyFont="1"/>
    <xf borderId="3" fillId="0" fontId="18" numFmtId="0" xfId="0" applyAlignment="1" applyBorder="1" applyFont="1">
      <alignment readingOrder="0"/>
    </xf>
    <xf borderId="0" fillId="0" fontId="8" numFmtId="0" xfId="0" applyAlignment="1" applyFont="1">
      <alignment horizontal="center"/>
    </xf>
    <xf borderId="0" fillId="0" fontId="8" numFmtId="3" xfId="0" applyFont="1" applyNumberFormat="1"/>
    <xf borderId="0" fillId="0" fontId="8" numFmtId="3" xfId="0" applyAlignment="1" applyFont="1" applyNumberFormat="1">
      <alignment readingOrder="0"/>
    </xf>
    <xf borderId="0" fillId="0" fontId="8" numFmtId="165" xfId="0" applyAlignment="1" applyFont="1" applyNumberFormat="1">
      <alignment readingOrder="0"/>
    </xf>
    <xf borderId="0" fillId="0" fontId="8" numFmtId="0" xfId="0" applyAlignment="1" applyFont="1">
      <alignment readingOrder="0"/>
    </xf>
    <xf borderId="2" fillId="0" fontId="7" numFmtId="0" xfId="0" applyAlignment="1" applyBorder="1" applyFont="1">
      <alignment vertical="bottom"/>
    </xf>
    <xf borderId="2" fillId="0" fontId="7" numFmtId="0" xfId="0" applyBorder="1" applyFont="1"/>
    <xf borderId="2" fillId="8" fontId="20" numFmtId="0" xfId="0" applyAlignment="1" applyBorder="1" applyFont="1">
      <alignment horizontal="center" readingOrder="0"/>
    </xf>
    <xf borderId="2" fillId="0" fontId="21" numFmtId="0" xfId="0" applyAlignment="1" applyBorder="1" applyFont="1">
      <alignment horizontal="center" readingOrder="0"/>
    </xf>
    <xf borderId="2" fillId="0" fontId="22" numFmtId="0" xfId="0" applyAlignment="1" applyBorder="1" applyFont="1">
      <alignment horizontal="center" readingOrder="0" vertical="center"/>
    </xf>
    <xf borderId="2" fillId="7" fontId="21" numFmtId="0" xfId="0" applyAlignment="1" applyBorder="1" applyFont="1">
      <alignment horizontal="center" readingOrder="0" vertical="center"/>
    </xf>
    <xf borderId="2" fillId="0" fontId="21" numFmtId="0" xfId="0" applyAlignment="1" applyBorder="1" applyFont="1">
      <alignment horizontal="center" readingOrder="0" vertical="center"/>
    </xf>
    <xf borderId="2" fillId="0" fontId="21" numFmtId="168" xfId="0" applyAlignment="1" applyBorder="1" applyFont="1" applyNumberFormat="1">
      <alignment horizontal="center"/>
    </xf>
    <xf borderId="8" fillId="0" fontId="21" numFmtId="168" xfId="0" applyAlignment="1" applyBorder="1" applyFont="1" applyNumberFormat="1">
      <alignment horizontal="center" vertical="center"/>
    </xf>
    <xf borderId="2" fillId="0" fontId="21" numFmtId="0" xfId="0" applyAlignment="1" applyBorder="1" applyFont="1">
      <alignment horizontal="center" vertical="center"/>
    </xf>
    <xf borderId="9" fillId="0" fontId="9" numFmtId="0" xfId="0" applyBorder="1" applyFont="1"/>
    <xf borderId="2" fillId="0" fontId="21" numFmtId="0" xfId="0" applyAlignment="1" applyBorder="1" applyFont="1">
      <alignment horizontal="center" vertical="center"/>
    </xf>
    <xf borderId="2" fillId="0" fontId="21" numFmtId="0" xfId="0" applyAlignment="1" applyBorder="1" applyFont="1">
      <alignment horizontal="center"/>
    </xf>
    <xf borderId="4" fillId="0" fontId="9" numFmtId="0" xfId="0" applyBorder="1" applyFont="1"/>
    <xf borderId="2" fillId="6" fontId="21" numFmtId="0" xfId="0" applyAlignment="1" applyBorder="1" applyFont="1">
      <alignment horizontal="center" readingOrder="0" vertical="center"/>
    </xf>
    <xf borderId="2" fillId="0" fontId="2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0"/>
    <col customWidth="1" min="2" max="2" width="7.88"/>
    <col customWidth="1" min="3" max="3" width="13.13"/>
    <col customWidth="1" min="4" max="4" width="9.38"/>
    <col customWidth="1" min="5" max="5" width="7.5"/>
    <col customWidth="1" min="6" max="6" width="10.13"/>
    <col customWidth="1" min="7" max="7" width="12.0"/>
    <col customWidth="1" min="8" max="8" width="9.0"/>
    <col customWidth="1" min="9" max="9" width="10.5"/>
    <col customWidth="1" min="10" max="11" width="8.0"/>
    <col customWidth="1" min="12" max="13" width="14.0"/>
    <col customWidth="1" min="14" max="14" width="8.75"/>
    <col customWidth="1" min="15" max="15" width="27.75"/>
  </cols>
  <sheetData>
    <row r="1">
      <c r="A1" s="1">
        <v>6.0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4" t="s">
        <v>5</v>
      </c>
      <c r="H1" s="2" t="s">
        <v>6</v>
      </c>
      <c r="I1" s="4" t="s">
        <v>7</v>
      </c>
      <c r="J1" s="2" t="s">
        <v>8</v>
      </c>
      <c r="K1" s="2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>
      <c r="A2" s="5">
        <v>1.0</v>
      </c>
      <c r="B2" s="6" t="s">
        <v>16</v>
      </c>
      <c r="C2" s="6"/>
      <c r="D2" s="7" t="s">
        <v>17</v>
      </c>
      <c r="E2" s="8" t="s">
        <v>18</v>
      </c>
      <c r="F2" s="6" t="s">
        <v>19</v>
      </c>
      <c r="G2" s="6"/>
      <c r="H2" s="6"/>
      <c r="I2" s="6"/>
      <c r="J2" s="9">
        <f>sumif('대치 9월 주급여'!$M$2:$Q$16, B2, '대치 9월 주급여'!$S$2:$S$16)+sumif('삼성 9월 주급여'!$M$2:$Q$20, B2, '삼성 9월 주급여'!$Q$2:$Q$20)</f>
        <v>2255747</v>
      </c>
      <c r="K2" s="9">
        <f>J2</f>
        <v>2255747</v>
      </c>
      <c r="L2" s="6" t="s">
        <v>19</v>
      </c>
      <c r="M2" s="6"/>
      <c r="N2" s="6"/>
      <c r="O2" s="6"/>
      <c r="P2" s="6"/>
      <c r="Q2" s="6"/>
    </row>
    <row r="3">
      <c r="A3" s="10">
        <v>2.0</v>
      </c>
      <c r="B3" s="11" t="s">
        <v>20</v>
      </c>
      <c r="C3" s="12" t="s">
        <v>21</v>
      </c>
      <c r="D3" s="12" t="s">
        <v>22</v>
      </c>
      <c r="E3" s="13" t="s">
        <v>18</v>
      </c>
      <c r="F3" s="14" t="s">
        <v>23</v>
      </c>
      <c r="G3" s="15"/>
      <c r="H3" s="16"/>
      <c r="I3" s="16"/>
      <c r="J3" s="17">
        <f>sumif('대치 9월 주급여'!$M$2:$Q$16, B3, '대치 9월 주급여'!$S$2:$S$16)+sumif('삼성 9월 주급여'!$M$2:$Q$20, B3, '삼성 9월 주급여'!$S$2:$S$20)</f>
        <v>2314530</v>
      </c>
      <c r="K3" s="17">
        <f>sumif('대치 9월 주급여'!$M$2:$Q$16, B3, '대치 9월 주급여'!$Q$2:$Q$16)+sumif('삼성 9월 주급여'!$M$2:$Q$20, B3, '삼성 9월 주급여'!$Q$2:$Q$20)</f>
        <v>2393510</v>
      </c>
      <c r="L3" s="18" t="s">
        <v>24</v>
      </c>
      <c r="M3" s="10"/>
      <c r="N3" s="10"/>
      <c r="O3" s="19"/>
      <c r="P3" s="20"/>
      <c r="Q3" s="20"/>
    </row>
    <row r="4">
      <c r="A4" s="10">
        <v>3.0</v>
      </c>
      <c r="B4" s="15" t="s">
        <v>25</v>
      </c>
      <c r="C4" s="15" t="s">
        <v>26</v>
      </c>
      <c r="D4" s="21" t="s">
        <v>27</v>
      </c>
      <c r="E4" s="13" t="s">
        <v>28</v>
      </c>
      <c r="F4" s="14" t="s">
        <v>29</v>
      </c>
      <c r="G4" s="14">
        <v>21.0</v>
      </c>
      <c r="H4" s="16"/>
      <c r="I4" s="16"/>
      <c r="J4" s="17">
        <f>sumif('대치 9월 주급여'!$M$2:$Q$16, B4, '대치 9월 주급여'!$S$2:$S$16)+sumif('삼성 9월 주급여'!$M$2:$Q$20, B4, '삼성 9월 주급여'!$S$2:$S$20)</f>
        <v>1006764</v>
      </c>
      <c r="K4" s="17">
        <f>sumif('대치 9월 주급여'!$M$2:$Q$16, B4, '대치 9월 주급여'!$Q$2:$Q$16)+sumif('삼성 9월 주급여'!$M$2:$Q$20, B4, '삼성 9월 주급여'!$Q$2:$Q$20)</f>
        <v>1041114</v>
      </c>
      <c r="L4" s="18" t="s">
        <v>24</v>
      </c>
      <c r="M4" s="10"/>
      <c r="N4" s="10"/>
      <c r="O4" s="10"/>
      <c r="P4" s="10"/>
      <c r="Q4" s="10"/>
    </row>
    <row r="5">
      <c r="A5" s="10">
        <v>4.0</v>
      </c>
      <c r="B5" s="15" t="s">
        <v>30</v>
      </c>
      <c r="C5" s="15" t="s">
        <v>31</v>
      </c>
      <c r="D5" s="21" t="s">
        <v>32</v>
      </c>
      <c r="E5" s="22" t="s">
        <v>33</v>
      </c>
      <c r="F5" s="23" t="s">
        <v>34</v>
      </c>
      <c r="G5" s="15">
        <v>13.5</v>
      </c>
      <c r="H5" s="16"/>
      <c r="I5" s="16"/>
      <c r="J5" s="17">
        <f>sumif('대치 9월 주급여'!$M$2:$Q$16, B5, '대치 9월 주급여'!$S$2:$S$16)+sumif('삼성 9월 주급여'!$M$2:$Q$20, B5, '삼성 9월 주급여'!$S$2:$S$20)</f>
        <v>694890</v>
      </c>
      <c r="K5" s="17">
        <f>sumif('대치 9월 주급여'!$M$2:$Q$16, B5, '대치 9월 주급여'!$Q$2:$Q$16)+sumif('삼성 9월 주급여'!$M$2:$Q$20, B5, '삼성 9월 주급여'!$Q$2:$Q$20)</f>
        <v>694890</v>
      </c>
      <c r="L5" s="24" t="s">
        <v>35</v>
      </c>
      <c r="M5" s="10"/>
      <c r="N5" s="25"/>
      <c r="O5" s="19"/>
      <c r="P5" s="20"/>
      <c r="Q5" s="20"/>
    </row>
    <row r="6">
      <c r="A6" s="10">
        <v>5.0</v>
      </c>
      <c r="B6" s="26" t="s">
        <v>36</v>
      </c>
      <c r="C6" s="14" t="s">
        <v>37</v>
      </c>
      <c r="D6" s="12" t="s">
        <v>38</v>
      </c>
      <c r="E6" s="22" t="s">
        <v>39</v>
      </c>
      <c r="F6" s="14" t="s">
        <v>40</v>
      </c>
      <c r="G6" s="14">
        <v>8.0</v>
      </c>
      <c r="H6" s="16"/>
      <c r="I6" s="10"/>
      <c r="J6" s="17">
        <f>sumif('대치 9월 주급여'!$M$2:$Q$16, B6, '대치 9월 주급여'!$S$2:$S$16)+sumif('삼성 9월 주급여'!$M$2:$Q$20, B6, '삼성 9월 주급여'!$S$2:$S$20)</f>
        <v>424655</v>
      </c>
      <c r="K6" s="17">
        <f>sumif('대치 9월 주급여'!$M$2:$Q$16, B6, '대치 9월 주급여'!$Q$2:$Q$16)+sumif('삼성 9월 주급여'!$M$2:$Q$20, B6, '삼성 9월 주급여'!$Q$2:$Q$20)</f>
        <v>424655</v>
      </c>
      <c r="L6" s="24" t="s">
        <v>35</v>
      </c>
      <c r="M6" s="10"/>
      <c r="N6" s="10"/>
      <c r="O6" s="10"/>
      <c r="P6" s="21"/>
      <c r="Q6" s="27"/>
    </row>
    <row r="7">
      <c r="A7" s="10">
        <v>6.0</v>
      </c>
      <c r="B7" s="23" t="s">
        <v>41</v>
      </c>
      <c r="C7" s="23" t="s">
        <v>42</v>
      </c>
      <c r="D7" s="21" t="s">
        <v>43</v>
      </c>
      <c r="E7" s="28" t="s">
        <v>28</v>
      </c>
      <c r="F7" s="29" t="s">
        <v>44</v>
      </c>
      <c r="G7" s="14">
        <v>19.0</v>
      </c>
      <c r="H7" s="16"/>
      <c r="I7" s="10"/>
      <c r="J7" s="17">
        <f>sumif('대치 9월 주급여'!$M$2:$Q$16, B7, '대치 9월 주급여'!$S$2:$S$16)+sumif('삼성 9월 주급여'!$M$2:$Q$20, B7, '삼성 9월 주급여'!$S$2:$S$20)</f>
        <v>842857</v>
      </c>
      <c r="K7" s="17">
        <f>sumif('대치 9월 주급여'!$M$2:$Q$16, B7, '대치 9월 주급여'!$Q$2:$Q$16)+sumif('삼성 9월 주급여'!$M$2:$Q$20, B7, '삼성 9월 주급여'!$Q$2:$Q$20)</f>
        <v>871607</v>
      </c>
      <c r="L7" s="24" t="s">
        <v>35</v>
      </c>
      <c r="M7" s="10"/>
      <c r="N7" s="10"/>
      <c r="O7" s="10"/>
      <c r="P7" s="21"/>
      <c r="Q7" s="27"/>
    </row>
    <row r="8">
      <c r="A8" s="10">
        <v>7.0</v>
      </c>
      <c r="B8" s="30" t="s">
        <v>45</v>
      </c>
      <c r="C8" s="14" t="s">
        <v>46</v>
      </c>
      <c r="D8" s="12" t="s">
        <v>47</v>
      </c>
      <c r="E8" s="13" t="s">
        <v>48</v>
      </c>
      <c r="F8" s="14" t="s">
        <v>49</v>
      </c>
      <c r="G8" s="14">
        <v>17.0</v>
      </c>
      <c r="H8" s="16"/>
      <c r="I8" s="16"/>
      <c r="J8" s="17">
        <f>sumif('대치 9월 주급여'!$M$2:$Q$16, B8, '대치 9월 주급여'!$S$2:$S$16)+sumif('삼성 9월 주급여'!$M$2:$Q$20, B8, '삼성 9월 주급여'!$S$2:$S$20)</f>
        <v>902358</v>
      </c>
      <c r="K8" s="17">
        <f>sumif('대치 9월 주급여'!$M$2:$Q$16, B8, '대치 9월 주급여'!$Q$2:$Q$16)+sumif('삼성 9월 주급여'!$M$2:$Q$20, B8, '삼성 9월 주급여'!$Q$2:$Q$20)</f>
        <v>933138</v>
      </c>
      <c r="L8" s="18" t="s">
        <v>24</v>
      </c>
      <c r="M8" s="16"/>
      <c r="N8" s="16"/>
      <c r="O8" s="31"/>
      <c r="P8" s="21"/>
      <c r="Q8" s="27"/>
    </row>
    <row r="9">
      <c r="A9" s="32">
        <v>8.0</v>
      </c>
      <c r="B9" s="33" t="s">
        <v>50</v>
      </c>
      <c r="C9" s="32" t="s">
        <v>51</v>
      </c>
      <c r="D9" s="34" t="s">
        <v>52</v>
      </c>
      <c r="E9" s="35" t="s">
        <v>53</v>
      </c>
      <c r="F9" s="11" t="s">
        <v>54</v>
      </c>
      <c r="G9" s="11" t="s">
        <v>54</v>
      </c>
      <c r="H9" s="36"/>
      <c r="I9" s="36"/>
      <c r="J9" s="37">
        <f>sumif('대치 9월 주급여'!$M$2:$Q$16, B9, '대치 9월 주급여'!$S$2:$S$16)+sumif('삼성 9월 주급여'!$M$2:$Q$20, B9, '삼성 9월 주급여'!$S$2:$S$20)</f>
        <v>371110</v>
      </c>
      <c r="K9" s="37">
        <f>sumif('대치 9월 주급여'!$M$2:$Q$16, B9, '대치 9월 주급여'!$Q$2:$Q$16)+sumif('삼성 9월 주급여'!$M$2:$Q$20, B9, '삼성 9월 주급여'!$Q$2:$Q$20)</f>
        <v>371110</v>
      </c>
      <c r="L9" s="38" t="s">
        <v>35</v>
      </c>
      <c r="M9" s="36"/>
      <c r="N9" s="36"/>
      <c r="O9" s="32" t="s">
        <v>55</v>
      </c>
      <c r="P9" s="21"/>
      <c r="Q9" s="27"/>
    </row>
    <row r="10">
      <c r="A10" s="10">
        <v>9.0</v>
      </c>
      <c r="B10" s="39" t="s">
        <v>56</v>
      </c>
      <c r="C10" s="40" t="s">
        <v>57</v>
      </c>
      <c r="D10" s="41" t="s">
        <v>58</v>
      </c>
      <c r="E10" s="42" t="s">
        <v>54</v>
      </c>
      <c r="F10" s="40" t="s">
        <v>54</v>
      </c>
      <c r="G10" s="40"/>
      <c r="H10" s="43"/>
      <c r="I10" s="43"/>
      <c r="J10" s="44">
        <v>0.0</v>
      </c>
      <c r="K10" s="44">
        <v>400000.0</v>
      </c>
      <c r="L10" s="45" t="s">
        <v>24</v>
      </c>
      <c r="M10" s="43"/>
      <c r="N10" s="43"/>
      <c r="O10" s="46" t="s">
        <v>59</v>
      </c>
      <c r="P10" s="47"/>
      <c r="Q10" s="48"/>
    </row>
    <row r="11">
      <c r="A11" s="10">
        <v>10.0</v>
      </c>
      <c r="B11" s="49" t="s">
        <v>60</v>
      </c>
      <c r="C11" s="50" t="s">
        <v>61</v>
      </c>
      <c r="D11" s="51" t="s">
        <v>62</v>
      </c>
      <c r="E11" s="52" t="s">
        <v>54</v>
      </c>
      <c r="F11" s="50" t="s">
        <v>54</v>
      </c>
      <c r="G11" s="50">
        <v>14.0</v>
      </c>
      <c r="H11" s="50"/>
      <c r="I11" s="50"/>
      <c r="J11" s="53">
        <v>0.0</v>
      </c>
      <c r="K11" s="54">
        <v>580000.0</v>
      </c>
      <c r="L11" s="55" t="s">
        <v>35</v>
      </c>
      <c r="M11" s="56"/>
      <c r="N11" s="56"/>
      <c r="O11" s="50" t="s">
        <v>63</v>
      </c>
      <c r="P11" s="57"/>
      <c r="Q11" s="57"/>
    </row>
    <row r="12">
      <c r="A12" s="10">
        <v>11.0</v>
      </c>
      <c r="B12" s="49" t="s">
        <v>64</v>
      </c>
      <c r="C12" s="50" t="s">
        <v>65</v>
      </c>
      <c r="D12" s="51" t="s">
        <v>62</v>
      </c>
      <c r="E12" s="52" t="s">
        <v>54</v>
      </c>
      <c r="F12" s="50" t="s">
        <v>54</v>
      </c>
      <c r="G12" s="50">
        <v>14.0</v>
      </c>
      <c r="H12" s="50"/>
      <c r="I12" s="50"/>
      <c r="J12" s="53">
        <v>0.0</v>
      </c>
      <c r="K12" s="54">
        <v>580000.0</v>
      </c>
      <c r="L12" s="55" t="s">
        <v>35</v>
      </c>
      <c r="M12" s="58"/>
      <c r="N12" s="58"/>
      <c r="O12" s="50" t="s">
        <v>63</v>
      </c>
      <c r="P12" s="57"/>
      <c r="Q12" s="57"/>
    </row>
    <row r="13">
      <c r="A13" s="59"/>
      <c r="B13" s="59"/>
      <c r="C13" s="59"/>
      <c r="D13" s="60"/>
      <c r="E13" s="59"/>
      <c r="F13" s="59"/>
      <c r="G13" s="59"/>
      <c r="H13" s="59"/>
      <c r="I13" s="59"/>
      <c r="J13" s="61">
        <f t="shared" ref="J13:K13" si="1">sum(J4:J10)</f>
        <v>4242634</v>
      </c>
      <c r="K13" s="61">
        <f t="shared" si="1"/>
        <v>4736514</v>
      </c>
      <c r="L13" s="59"/>
      <c r="M13" s="59"/>
      <c r="N13" s="59"/>
      <c r="O13" s="59"/>
      <c r="P13" s="59"/>
      <c r="Q13" s="59"/>
    </row>
    <row r="14">
      <c r="A14" s="59"/>
    </row>
  </sheetData>
  <autoFilter ref="$A$1:$Q$1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3.88"/>
    <col customWidth="1" min="3" max="6" width="4.5"/>
    <col customWidth="1" min="7" max="7" width="3.88"/>
    <col customWidth="1" min="8" max="11" width="4.5"/>
    <col customWidth="1" min="12" max="12" width="3.88"/>
    <col customWidth="1" min="13" max="16" width="4.5"/>
    <col customWidth="1" min="17" max="17" width="3.88"/>
    <col customWidth="1" min="18" max="21" width="4.5"/>
    <col customWidth="1" min="22" max="22" width="3.88"/>
    <col customWidth="1" min="23" max="26" width="4.5"/>
    <col customWidth="1" min="27" max="27" width="3.88"/>
    <col customWidth="1" min="28" max="31" width="4.5"/>
    <col customWidth="1" min="32" max="32" width="3.88"/>
    <col customWidth="1" min="33" max="36" width="4.5"/>
    <col customWidth="1" min="37" max="37" width="3.88"/>
  </cols>
  <sheetData>
    <row r="1">
      <c r="A1" s="62" t="s">
        <v>66</v>
      </c>
      <c r="B1" s="63"/>
      <c r="C1" s="62" t="s">
        <v>67</v>
      </c>
      <c r="D1" s="64"/>
      <c r="E1" s="64"/>
      <c r="F1" s="64"/>
      <c r="G1" s="63"/>
      <c r="H1" s="62" t="s">
        <v>68</v>
      </c>
      <c r="I1" s="64"/>
      <c r="J1" s="64"/>
      <c r="K1" s="64"/>
      <c r="L1" s="63"/>
      <c r="M1" s="62" t="s">
        <v>69</v>
      </c>
      <c r="N1" s="64"/>
      <c r="O1" s="64"/>
      <c r="P1" s="64"/>
      <c r="Q1" s="63"/>
      <c r="R1" s="62" t="s">
        <v>70</v>
      </c>
      <c r="S1" s="64"/>
      <c r="T1" s="64"/>
      <c r="U1" s="64"/>
      <c r="V1" s="63"/>
      <c r="W1" s="62" t="s">
        <v>71</v>
      </c>
      <c r="X1" s="64"/>
      <c r="Y1" s="64"/>
      <c r="Z1" s="64"/>
      <c r="AA1" s="63"/>
      <c r="AB1" s="65" t="s">
        <v>72</v>
      </c>
      <c r="AC1" s="64"/>
      <c r="AD1" s="64"/>
      <c r="AE1" s="64"/>
      <c r="AF1" s="63"/>
      <c r="AG1" s="66" t="s">
        <v>73</v>
      </c>
      <c r="AH1" s="64"/>
      <c r="AI1" s="64"/>
      <c r="AJ1" s="64"/>
      <c r="AK1" s="63"/>
    </row>
    <row r="2">
      <c r="A2" s="67" t="s">
        <v>74</v>
      </c>
      <c r="B2" s="68"/>
      <c r="C2" s="69" t="s">
        <v>0</v>
      </c>
      <c r="D2" s="69" t="s">
        <v>75</v>
      </c>
      <c r="E2" s="69" t="s">
        <v>76</v>
      </c>
      <c r="F2" s="69" t="s">
        <v>13</v>
      </c>
      <c r="G2" s="69" t="s">
        <v>4</v>
      </c>
      <c r="H2" s="69" t="s">
        <v>0</v>
      </c>
      <c r="I2" s="69" t="s">
        <v>75</v>
      </c>
      <c r="J2" s="69" t="s">
        <v>76</v>
      </c>
      <c r="K2" s="69"/>
      <c r="L2" s="69" t="s">
        <v>4</v>
      </c>
      <c r="M2" s="69" t="s">
        <v>0</v>
      </c>
      <c r="N2" s="69" t="s">
        <v>75</v>
      </c>
      <c r="O2" s="69" t="s">
        <v>76</v>
      </c>
      <c r="P2" s="69" t="s">
        <v>13</v>
      </c>
      <c r="Q2" s="69" t="s">
        <v>4</v>
      </c>
      <c r="R2" s="69" t="s">
        <v>0</v>
      </c>
      <c r="S2" s="69" t="s">
        <v>75</v>
      </c>
      <c r="T2" s="69" t="s">
        <v>76</v>
      </c>
      <c r="U2" s="69" t="s">
        <v>13</v>
      </c>
      <c r="V2" s="69" t="s">
        <v>4</v>
      </c>
      <c r="W2" s="69" t="s">
        <v>0</v>
      </c>
      <c r="X2" s="69" t="s">
        <v>75</v>
      </c>
      <c r="Y2" s="69" t="s">
        <v>76</v>
      </c>
      <c r="Z2" s="69" t="s">
        <v>13</v>
      </c>
      <c r="AA2" s="69" t="s">
        <v>4</v>
      </c>
      <c r="AB2" s="69" t="s">
        <v>0</v>
      </c>
      <c r="AC2" s="69" t="s">
        <v>75</v>
      </c>
      <c r="AD2" s="69" t="s">
        <v>76</v>
      </c>
      <c r="AE2" s="69" t="s">
        <v>13</v>
      </c>
      <c r="AF2" s="69" t="s">
        <v>4</v>
      </c>
      <c r="AG2" s="69" t="s">
        <v>0</v>
      </c>
      <c r="AH2" s="69" t="s">
        <v>75</v>
      </c>
      <c r="AI2" s="69" t="s">
        <v>76</v>
      </c>
      <c r="AJ2" s="69" t="s">
        <v>13</v>
      </c>
      <c r="AK2" s="69" t="s">
        <v>4</v>
      </c>
    </row>
    <row r="3">
      <c r="A3" s="70"/>
      <c r="B3" s="70" t="s">
        <v>77</v>
      </c>
      <c r="C3" s="71">
        <v>1.0</v>
      </c>
      <c r="D3" s="64"/>
      <c r="E3" s="64"/>
      <c r="F3" s="63"/>
      <c r="G3" s="72">
        <f t="shared" ref="G3:G38" si="1">if(E3-D3 &lt; 0 , (E3-D3+1)*24, (E3-D3)*24)</f>
        <v>0</v>
      </c>
      <c r="H3" s="71">
        <v>2.0</v>
      </c>
      <c r="I3" s="64"/>
      <c r="J3" s="64"/>
      <c r="K3" s="63"/>
      <c r="L3" s="72">
        <f t="shared" ref="L3:L38" si="2">if(J3-I3 &lt; 0 , (J3-I3+1)*24, (J3-I3)*24)</f>
        <v>0</v>
      </c>
      <c r="M3" s="71">
        <v>3.0</v>
      </c>
      <c r="N3" s="64"/>
      <c r="O3" s="64"/>
      <c r="P3" s="63"/>
      <c r="Q3" s="72">
        <f t="shared" ref="Q3:Q38" si="3">if(O3-N3 &lt; 0 , (O3-N3+1)*24, (O3-N3)*24)</f>
        <v>0</v>
      </c>
      <c r="R3" s="71">
        <v>4.0</v>
      </c>
      <c r="S3" s="64"/>
      <c r="T3" s="64"/>
      <c r="U3" s="63"/>
      <c r="V3" s="72">
        <f t="shared" ref="V3:V38" si="4">if(T3-S3 &lt; 0 , (T3-S3+1)*24, (T3-S3)*24)</f>
        <v>0</v>
      </c>
      <c r="W3" s="71">
        <v>5.0</v>
      </c>
      <c r="X3" s="64"/>
      <c r="Y3" s="64"/>
      <c r="Z3" s="63"/>
      <c r="AA3" s="73">
        <f t="shared" ref="AA3:AA38" si="5">if(Y3-X3 &lt; 0 , (Y3-X3+1)*24, (Y3-X3)*24)</f>
        <v>0</v>
      </c>
      <c r="AB3" s="74">
        <v>2.0</v>
      </c>
      <c r="AC3" s="64"/>
      <c r="AD3" s="64"/>
      <c r="AE3" s="63"/>
      <c r="AF3" s="73">
        <f t="shared" ref="AF3:AF38" si="6">if(AD3-AC3 &lt; 0 , (AD3-AC3+1)*24, (AD3-AC3)*24)</f>
        <v>0</v>
      </c>
      <c r="AG3" s="75">
        <v>7.0</v>
      </c>
      <c r="AH3" s="64"/>
      <c r="AI3" s="64"/>
      <c r="AJ3" s="63"/>
      <c r="AK3" s="72">
        <f t="shared" ref="AK3:AK38" si="7">if(AI3-AH3 &lt; 0 , (AI3-AH3+1)*24, (AI3-AH3)*24)</f>
        <v>0</v>
      </c>
    </row>
    <row r="4">
      <c r="A4" s="76" t="s">
        <v>78</v>
      </c>
      <c r="B4" s="76">
        <v>1.0</v>
      </c>
      <c r="C4" s="77" t="s">
        <v>79</v>
      </c>
      <c r="D4" s="78">
        <v>0.2708333333333333</v>
      </c>
      <c r="E4" s="78">
        <v>0.625</v>
      </c>
      <c r="F4" s="79"/>
      <c r="G4" s="73">
        <f t="shared" si="1"/>
        <v>8.5</v>
      </c>
      <c r="H4" s="77" t="s">
        <v>79</v>
      </c>
      <c r="I4" s="78">
        <v>0.2708333333333333</v>
      </c>
      <c r="J4" s="78">
        <v>0.625</v>
      </c>
      <c r="K4" s="79"/>
      <c r="L4" s="73">
        <f t="shared" si="2"/>
        <v>8.5</v>
      </c>
      <c r="M4" s="77" t="s">
        <v>79</v>
      </c>
      <c r="N4" s="78">
        <v>0.2708333333333333</v>
      </c>
      <c r="O4" s="78">
        <v>0.625</v>
      </c>
      <c r="P4" s="79"/>
      <c r="Q4" s="73">
        <f t="shared" si="3"/>
        <v>8.5</v>
      </c>
      <c r="R4" s="77" t="s">
        <v>79</v>
      </c>
      <c r="S4" s="78">
        <v>0.2708333333333333</v>
      </c>
      <c r="T4" s="78">
        <v>0.625</v>
      </c>
      <c r="U4" s="79"/>
      <c r="V4" s="73">
        <f t="shared" si="4"/>
        <v>8.5</v>
      </c>
      <c r="W4" s="80" t="s">
        <v>79</v>
      </c>
      <c r="X4" s="81">
        <v>0.2708333333333333</v>
      </c>
      <c r="Y4" s="81">
        <v>0.625</v>
      </c>
      <c r="Z4" s="82"/>
      <c r="AA4" s="73">
        <f t="shared" si="5"/>
        <v>8.5</v>
      </c>
      <c r="AB4" s="80" t="s">
        <v>41</v>
      </c>
      <c r="AC4" s="83">
        <v>0.3020833333333333</v>
      </c>
      <c r="AD4" s="83">
        <v>0.5104166666666666</v>
      </c>
      <c r="AE4" s="82"/>
      <c r="AF4" s="73">
        <f t="shared" si="6"/>
        <v>5</v>
      </c>
      <c r="AG4" s="80" t="s">
        <v>41</v>
      </c>
      <c r="AH4" s="83">
        <v>0.3020833333333333</v>
      </c>
      <c r="AI4" s="83">
        <v>0.5104166666666666</v>
      </c>
      <c r="AJ4" s="82"/>
      <c r="AK4" s="73">
        <f t="shared" si="7"/>
        <v>5</v>
      </c>
    </row>
    <row r="5">
      <c r="A5" s="76" t="s">
        <v>78</v>
      </c>
      <c r="B5" s="76">
        <v>2.0</v>
      </c>
      <c r="C5" s="77" t="s">
        <v>30</v>
      </c>
      <c r="D5" s="78">
        <v>0.625</v>
      </c>
      <c r="E5" s="78">
        <v>0.9583333333333334</v>
      </c>
      <c r="F5" s="79"/>
      <c r="G5" s="73">
        <f t="shared" si="1"/>
        <v>8</v>
      </c>
      <c r="H5" s="77" t="s">
        <v>25</v>
      </c>
      <c r="I5" s="78">
        <v>0.625</v>
      </c>
      <c r="J5" s="78">
        <v>0.7708333333333334</v>
      </c>
      <c r="K5" s="79"/>
      <c r="L5" s="73">
        <f t="shared" si="2"/>
        <v>3.5</v>
      </c>
      <c r="M5" s="77" t="s">
        <v>16</v>
      </c>
      <c r="N5" s="78">
        <v>0.625</v>
      </c>
      <c r="O5" s="78">
        <v>0.7708333333333334</v>
      </c>
      <c r="P5" s="79"/>
      <c r="Q5" s="73">
        <f t="shared" si="3"/>
        <v>3.5</v>
      </c>
      <c r="R5" s="77" t="s">
        <v>25</v>
      </c>
      <c r="S5" s="78">
        <v>0.625</v>
      </c>
      <c r="T5" s="78">
        <v>0.7708333333333334</v>
      </c>
      <c r="U5" s="79"/>
      <c r="V5" s="73">
        <f t="shared" si="4"/>
        <v>3.5</v>
      </c>
      <c r="W5" s="80" t="s">
        <v>16</v>
      </c>
      <c r="X5" s="81">
        <v>0.625</v>
      </c>
      <c r="Y5" s="81">
        <v>0.7708333333333334</v>
      </c>
      <c r="Z5" s="82"/>
      <c r="AA5" s="73">
        <f t="shared" si="5"/>
        <v>3.5</v>
      </c>
      <c r="AB5" s="84" t="s">
        <v>36</v>
      </c>
      <c r="AC5" s="83">
        <v>0.5</v>
      </c>
      <c r="AD5" s="83">
        <v>0.6875</v>
      </c>
      <c r="AE5" s="82"/>
      <c r="AF5" s="73">
        <f t="shared" si="6"/>
        <v>4.5</v>
      </c>
      <c r="AG5" s="84" t="s">
        <v>36</v>
      </c>
      <c r="AH5" s="83">
        <v>0.5</v>
      </c>
      <c r="AI5" s="81">
        <v>0.6875</v>
      </c>
      <c r="AJ5" s="82"/>
      <c r="AK5" s="73">
        <f t="shared" si="7"/>
        <v>4.5</v>
      </c>
    </row>
    <row r="6">
      <c r="A6" s="76" t="s">
        <v>78</v>
      </c>
      <c r="B6" s="76">
        <v>3.0</v>
      </c>
      <c r="C6" s="77" t="s">
        <v>20</v>
      </c>
      <c r="D6" s="78">
        <v>0.9166666666666666</v>
      </c>
      <c r="E6" s="78">
        <v>0.2708333333333333</v>
      </c>
      <c r="F6" s="79"/>
      <c r="G6" s="73">
        <f t="shared" si="1"/>
        <v>8.5</v>
      </c>
      <c r="H6" s="77" t="s">
        <v>41</v>
      </c>
      <c r="I6" s="78">
        <v>0.7708333333333334</v>
      </c>
      <c r="J6" s="85">
        <v>0.9583333333333334</v>
      </c>
      <c r="K6" s="79"/>
      <c r="L6" s="73">
        <f t="shared" si="2"/>
        <v>4.5</v>
      </c>
      <c r="M6" s="77" t="s">
        <v>80</v>
      </c>
      <c r="N6" s="78">
        <v>0.7708333333333334</v>
      </c>
      <c r="O6" s="78">
        <v>0.9583333333333334</v>
      </c>
      <c r="P6" s="79"/>
      <c r="Q6" s="73">
        <f t="shared" si="3"/>
        <v>4.5</v>
      </c>
      <c r="R6" s="77" t="s">
        <v>41</v>
      </c>
      <c r="S6" s="78">
        <v>0.7708333333333334</v>
      </c>
      <c r="T6" s="78">
        <v>0.9583333333333334</v>
      </c>
      <c r="U6" s="79"/>
      <c r="V6" s="73">
        <f t="shared" si="4"/>
        <v>4.5</v>
      </c>
      <c r="W6" s="80" t="s">
        <v>30</v>
      </c>
      <c r="X6" s="81">
        <v>0.7708333333333334</v>
      </c>
      <c r="Y6" s="81">
        <v>0.9583333333333334</v>
      </c>
      <c r="Z6" s="82"/>
      <c r="AA6" s="73">
        <f t="shared" si="5"/>
        <v>4.5</v>
      </c>
      <c r="AB6" s="80" t="s">
        <v>25</v>
      </c>
      <c r="AC6" s="83">
        <v>0.6666666666666666</v>
      </c>
      <c r="AD6" s="83">
        <v>0.9583333333333334</v>
      </c>
      <c r="AE6" s="82"/>
      <c r="AF6" s="73">
        <f t="shared" si="6"/>
        <v>7</v>
      </c>
      <c r="AG6" s="80" t="s">
        <v>25</v>
      </c>
      <c r="AH6" s="81">
        <v>0.6875</v>
      </c>
      <c r="AI6" s="83">
        <v>0.9583333333333334</v>
      </c>
      <c r="AJ6" s="82"/>
      <c r="AK6" s="73">
        <f t="shared" si="7"/>
        <v>6.5</v>
      </c>
    </row>
    <row r="7">
      <c r="A7" s="76" t="s">
        <v>78</v>
      </c>
      <c r="B7" s="76">
        <v>4.0</v>
      </c>
      <c r="C7" s="86"/>
      <c r="D7" s="79"/>
      <c r="E7" s="79"/>
      <c r="F7" s="79"/>
      <c r="G7" s="73">
        <f t="shared" si="1"/>
        <v>0</v>
      </c>
      <c r="H7" s="77" t="s">
        <v>20</v>
      </c>
      <c r="I7" s="78">
        <v>0.9166666666666666</v>
      </c>
      <c r="J7" s="78">
        <v>0.2708333333333333</v>
      </c>
      <c r="K7" s="79"/>
      <c r="L7" s="73">
        <f t="shared" si="2"/>
        <v>8.5</v>
      </c>
      <c r="M7" s="77" t="s">
        <v>20</v>
      </c>
      <c r="N7" s="78">
        <v>0.9166666666666666</v>
      </c>
      <c r="O7" s="78">
        <v>0.2708333333333333</v>
      </c>
      <c r="P7" s="79"/>
      <c r="Q7" s="73">
        <f t="shared" si="3"/>
        <v>8.5</v>
      </c>
      <c r="R7" s="77" t="s">
        <v>20</v>
      </c>
      <c r="S7" s="78">
        <v>0.9166666666666666</v>
      </c>
      <c r="T7" s="83">
        <v>0.2708333333333333</v>
      </c>
      <c r="U7" s="79"/>
      <c r="V7" s="73">
        <f t="shared" si="4"/>
        <v>8.5</v>
      </c>
      <c r="W7" s="80" t="s">
        <v>45</v>
      </c>
      <c r="X7" s="81">
        <v>0.9166666666666666</v>
      </c>
      <c r="Y7" s="83">
        <v>0.3020833333333333</v>
      </c>
      <c r="Z7" s="82"/>
      <c r="AA7" s="73">
        <f t="shared" si="5"/>
        <v>9.25</v>
      </c>
      <c r="AB7" s="80" t="s">
        <v>45</v>
      </c>
      <c r="AC7" s="83">
        <v>0.9479166666666666</v>
      </c>
      <c r="AD7" s="83">
        <v>0.3020833333333333</v>
      </c>
      <c r="AE7" s="87"/>
      <c r="AF7" s="73">
        <f t="shared" si="6"/>
        <v>8.5</v>
      </c>
      <c r="AG7" s="80" t="s">
        <v>20</v>
      </c>
      <c r="AH7" s="83">
        <v>0.9583333333333334</v>
      </c>
      <c r="AI7" s="83">
        <v>0.2916666666666667</v>
      </c>
      <c r="AJ7" s="82"/>
      <c r="AK7" s="73">
        <f t="shared" si="7"/>
        <v>8</v>
      </c>
    </row>
    <row r="8">
      <c r="A8" s="76" t="s">
        <v>78</v>
      </c>
      <c r="B8" s="76">
        <v>5.0</v>
      </c>
      <c r="C8" s="86"/>
      <c r="D8" s="79"/>
      <c r="E8" s="79"/>
      <c r="F8" s="86"/>
      <c r="G8" s="73">
        <f t="shared" si="1"/>
        <v>0</v>
      </c>
      <c r="H8" s="86"/>
      <c r="I8" s="79"/>
      <c r="J8" s="79"/>
      <c r="K8" s="86"/>
      <c r="L8" s="73">
        <f t="shared" si="2"/>
        <v>0</v>
      </c>
      <c r="M8" s="86"/>
      <c r="N8" s="79"/>
      <c r="O8" s="79"/>
      <c r="P8" s="86"/>
      <c r="Q8" s="73">
        <f t="shared" si="3"/>
        <v>0</v>
      </c>
      <c r="R8" s="86"/>
      <c r="S8" s="79"/>
      <c r="T8" s="79"/>
      <c r="U8" s="86"/>
      <c r="V8" s="73">
        <f t="shared" si="4"/>
        <v>0</v>
      </c>
      <c r="W8" s="88"/>
      <c r="X8" s="89"/>
      <c r="Y8" s="89"/>
      <c r="Z8" s="88"/>
      <c r="AA8" s="73">
        <f t="shared" si="5"/>
        <v>0</v>
      </c>
      <c r="AB8" s="90"/>
      <c r="AC8" s="91"/>
      <c r="AD8" s="91"/>
      <c r="AE8" s="90"/>
      <c r="AF8" s="73">
        <f t="shared" si="6"/>
        <v>0</v>
      </c>
      <c r="AG8" s="90"/>
      <c r="AH8" s="91"/>
      <c r="AI8" s="91"/>
      <c r="AJ8" s="91"/>
      <c r="AK8" s="73">
        <f t="shared" si="7"/>
        <v>0</v>
      </c>
    </row>
    <row r="9">
      <c r="A9" s="92"/>
      <c r="B9" s="92" t="s">
        <v>77</v>
      </c>
      <c r="C9" s="93">
        <v>8.0</v>
      </c>
      <c r="D9" s="64"/>
      <c r="E9" s="64"/>
      <c r="F9" s="63"/>
      <c r="G9" s="73">
        <f t="shared" si="1"/>
        <v>0</v>
      </c>
      <c r="H9" s="93">
        <v>9.0</v>
      </c>
      <c r="I9" s="64"/>
      <c r="J9" s="64"/>
      <c r="K9" s="63"/>
      <c r="L9" s="73">
        <f t="shared" si="2"/>
        <v>0</v>
      </c>
      <c r="M9" s="93">
        <v>10.0</v>
      </c>
      <c r="N9" s="64"/>
      <c r="O9" s="64"/>
      <c r="P9" s="63"/>
      <c r="Q9" s="73">
        <f t="shared" si="3"/>
        <v>0</v>
      </c>
      <c r="R9" s="93">
        <v>11.0</v>
      </c>
      <c r="S9" s="64"/>
      <c r="T9" s="64"/>
      <c r="U9" s="63"/>
      <c r="V9" s="73">
        <f t="shared" si="4"/>
        <v>0</v>
      </c>
      <c r="W9" s="93">
        <v>12.0</v>
      </c>
      <c r="X9" s="64"/>
      <c r="Y9" s="64"/>
      <c r="Z9" s="63"/>
      <c r="AA9" s="73">
        <f t="shared" si="5"/>
        <v>0</v>
      </c>
      <c r="AB9" s="94">
        <v>13.0</v>
      </c>
      <c r="AC9" s="64"/>
      <c r="AD9" s="64"/>
      <c r="AE9" s="63"/>
      <c r="AF9" s="73">
        <f t="shared" si="6"/>
        <v>0</v>
      </c>
      <c r="AG9" s="95">
        <v>14.0</v>
      </c>
      <c r="AH9" s="64"/>
      <c r="AI9" s="64"/>
      <c r="AJ9" s="63"/>
      <c r="AK9" s="73">
        <f t="shared" si="7"/>
        <v>0</v>
      </c>
    </row>
    <row r="10">
      <c r="A10" s="76" t="s">
        <v>81</v>
      </c>
      <c r="B10" s="76">
        <v>1.0</v>
      </c>
      <c r="C10" s="84" t="s">
        <v>79</v>
      </c>
      <c r="D10" s="83">
        <v>0.2708333333333333</v>
      </c>
      <c r="E10" s="83">
        <v>0.625</v>
      </c>
      <c r="F10" s="82"/>
      <c r="G10" s="73">
        <f t="shared" si="1"/>
        <v>8.5</v>
      </c>
      <c r="H10" s="84" t="s">
        <v>79</v>
      </c>
      <c r="I10" s="83">
        <v>0.2708333333333333</v>
      </c>
      <c r="J10" s="83">
        <v>0.625</v>
      </c>
      <c r="K10" s="82"/>
      <c r="L10" s="73">
        <f t="shared" si="2"/>
        <v>8.5</v>
      </c>
      <c r="M10" s="80" t="s">
        <v>79</v>
      </c>
      <c r="N10" s="83">
        <v>0.2708333333333333</v>
      </c>
      <c r="O10" s="81">
        <v>0.6666666666666666</v>
      </c>
      <c r="P10" s="82"/>
      <c r="Q10" s="73">
        <f t="shared" si="3"/>
        <v>9.5</v>
      </c>
      <c r="R10" s="84" t="s">
        <v>79</v>
      </c>
      <c r="S10" s="83">
        <v>0.2708333333333333</v>
      </c>
      <c r="T10" s="83">
        <v>0.625</v>
      </c>
      <c r="U10" s="82"/>
      <c r="V10" s="73">
        <f t="shared" si="4"/>
        <v>8.5</v>
      </c>
      <c r="W10" s="80" t="s">
        <v>79</v>
      </c>
      <c r="X10" s="81">
        <v>0.2708333333333333</v>
      </c>
      <c r="Y10" s="81">
        <v>0.625</v>
      </c>
      <c r="Z10" s="82"/>
      <c r="AA10" s="73">
        <f t="shared" si="5"/>
        <v>8.5</v>
      </c>
      <c r="AB10" s="80" t="s">
        <v>41</v>
      </c>
      <c r="AC10" s="83">
        <v>0.3020833333333333</v>
      </c>
      <c r="AD10" s="83">
        <v>0.5104166666666666</v>
      </c>
      <c r="AE10" s="82"/>
      <c r="AF10" s="73">
        <f t="shared" si="6"/>
        <v>5</v>
      </c>
      <c r="AG10" s="80" t="s">
        <v>41</v>
      </c>
      <c r="AH10" s="83">
        <v>0.3020833333333333</v>
      </c>
      <c r="AI10" s="83">
        <v>0.5104166666666666</v>
      </c>
      <c r="AJ10" s="82"/>
      <c r="AK10" s="73">
        <f t="shared" si="7"/>
        <v>5</v>
      </c>
    </row>
    <row r="11">
      <c r="A11" s="76" t="s">
        <v>81</v>
      </c>
      <c r="B11" s="76">
        <v>2.0</v>
      </c>
      <c r="C11" s="80" t="s">
        <v>16</v>
      </c>
      <c r="D11" s="83">
        <v>0.625</v>
      </c>
      <c r="E11" s="83">
        <v>0.7708333333333334</v>
      </c>
      <c r="F11" s="82"/>
      <c r="G11" s="73">
        <f t="shared" si="1"/>
        <v>3.5</v>
      </c>
      <c r="H11" s="84" t="s">
        <v>25</v>
      </c>
      <c r="I11" s="83">
        <v>0.625</v>
      </c>
      <c r="J11" s="83">
        <v>0.7708333333333334</v>
      </c>
      <c r="K11" s="82"/>
      <c r="L11" s="73">
        <f t="shared" si="2"/>
        <v>3.5</v>
      </c>
      <c r="M11" s="80" t="s">
        <v>30</v>
      </c>
      <c r="N11" s="81">
        <v>0.6666666666666666</v>
      </c>
      <c r="O11" s="83">
        <v>0.9583333333333334</v>
      </c>
      <c r="P11" s="82"/>
      <c r="Q11" s="73">
        <f t="shared" si="3"/>
        <v>7</v>
      </c>
      <c r="R11" s="84" t="s">
        <v>25</v>
      </c>
      <c r="S11" s="83">
        <v>0.625</v>
      </c>
      <c r="T11" s="83">
        <v>0.7708333333333334</v>
      </c>
      <c r="U11" s="82"/>
      <c r="V11" s="73">
        <f t="shared" si="4"/>
        <v>3.5</v>
      </c>
      <c r="W11" s="80" t="s">
        <v>16</v>
      </c>
      <c r="X11" s="81">
        <v>0.625</v>
      </c>
      <c r="Y11" s="81">
        <v>0.7708333333333334</v>
      </c>
      <c r="Z11" s="82"/>
      <c r="AA11" s="73">
        <f t="shared" si="5"/>
        <v>3.5</v>
      </c>
      <c r="AB11" s="84" t="s">
        <v>36</v>
      </c>
      <c r="AC11" s="83">
        <v>0.5</v>
      </c>
      <c r="AD11" s="83">
        <v>0.6875</v>
      </c>
      <c r="AE11" s="82"/>
      <c r="AF11" s="73">
        <f t="shared" si="6"/>
        <v>4.5</v>
      </c>
      <c r="AG11" s="84" t="s">
        <v>36</v>
      </c>
      <c r="AH11" s="83">
        <v>0.5</v>
      </c>
      <c r="AI11" s="81">
        <v>0.6666666666666666</v>
      </c>
      <c r="AJ11" s="82"/>
      <c r="AK11" s="73">
        <f t="shared" si="7"/>
        <v>4</v>
      </c>
    </row>
    <row r="12">
      <c r="A12" s="76" t="s">
        <v>81</v>
      </c>
      <c r="B12" s="76">
        <v>3.0</v>
      </c>
      <c r="C12" s="84" t="s">
        <v>30</v>
      </c>
      <c r="D12" s="83">
        <v>0.7708333333333334</v>
      </c>
      <c r="E12" s="83">
        <v>0.9583333333333334</v>
      </c>
      <c r="F12" s="82"/>
      <c r="G12" s="73">
        <f t="shared" si="1"/>
        <v>4.5</v>
      </c>
      <c r="H12" s="84" t="s">
        <v>41</v>
      </c>
      <c r="I12" s="83">
        <v>0.7708333333333334</v>
      </c>
      <c r="J12" s="83">
        <v>0.9583333333333334</v>
      </c>
      <c r="K12" s="82"/>
      <c r="L12" s="73">
        <f t="shared" si="2"/>
        <v>4.5</v>
      </c>
      <c r="M12" s="80" t="s">
        <v>20</v>
      </c>
      <c r="N12" s="78">
        <v>0.9166666666666666</v>
      </c>
      <c r="O12" s="83">
        <v>0.2708333333333333</v>
      </c>
      <c r="P12" s="82"/>
      <c r="Q12" s="73">
        <f t="shared" si="3"/>
        <v>8.5</v>
      </c>
      <c r="R12" s="84" t="s">
        <v>41</v>
      </c>
      <c r="S12" s="83">
        <v>0.7708333333333334</v>
      </c>
      <c r="T12" s="83">
        <v>0.9583333333333334</v>
      </c>
      <c r="U12" s="82"/>
      <c r="V12" s="73">
        <f t="shared" si="4"/>
        <v>4.5</v>
      </c>
      <c r="W12" s="80" t="s">
        <v>30</v>
      </c>
      <c r="X12" s="81">
        <v>0.7708333333333334</v>
      </c>
      <c r="Y12" s="81">
        <v>0.9583333333333334</v>
      </c>
      <c r="Z12" s="82"/>
      <c r="AA12" s="73">
        <f t="shared" si="5"/>
        <v>4.5</v>
      </c>
      <c r="AB12" s="80" t="s">
        <v>25</v>
      </c>
      <c r="AC12" s="83">
        <v>0.6666666666666666</v>
      </c>
      <c r="AD12" s="83">
        <v>0.9583333333333334</v>
      </c>
      <c r="AE12" s="82"/>
      <c r="AF12" s="73">
        <f t="shared" si="6"/>
        <v>7</v>
      </c>
      <c r="AG12" s="84" t="s">
        <v>25</v>
      </c>
      <c r="AH12" s="83">
        <v>0.6666666666666666</v>
      </c>
      <c r="AI12" s="83">
        <v>0.9583333333333334</v>
      </c>
      <c r="AJ12" s="82"/>
      <c r="AK12" s="73">
        <f t="shared" si="7"/>
        <v>7</v>
      </c>
    </row>
    <row r="13">
      <c r="A13" s="76" t="s">
        <v>81</v>
      </c>
      <c r="B13" s="76">
        <v>4.0</v>
      </c>
      <c r="C13" s="84" t="s">
        <v>20</v>
      </c>
      <c r="D13" s="81">
        <v>0.9166666666666666</v>
      </c>
      <c r="E13" s="83">
        <v>0.2708333333333333</v>
      </c>
      <c r="F13" s="82"/>
      <c r="G13" s="73">
        <f t="shared" si="1"/>
        <v>8.5</v>
      </c>
      <c r="H13" s="84" t="s">
        <v>20</v>
      </c>
      <c r="I13" s="81">
        <v>0.9166666666666666</v>
      </c>
      <c r="J13" s="83">
        <v>0.2708333333333333</v>
      </c>
      <c r="K13" s="82"/>
      <c r="L13" s="73">
        <f t="shared" si="2"/>
        <v>8.5</v>
      </c>
      <c r="M13" s="84"/>
      <c r="N13" s="81"/>
      <c r="O13" s="83"/>
      <c r="P13" s="82"/>
      <c r="Q13" s="73">
        <f t="shared" si="3"/>
        <v>0</v>
      </c>
      <c r="R13" s="84" t="s">
        <v>20</v>
      </c>
      <c r="S13" s="81">
        <v>0.9166666666666666</v>
      </c>
      <c r="T13" s="83">
        <v>0.2708333333333333</v>
      </c>
      <c r="U13" s="82"/>
      <c r="V13" s="73">
        <f t="shared" si="4"/>
        <v>8.5</v>
      </c>
      <c r="W13" s="80" t="s">
        <v>45</v>
      </c>
      <c r="X13" s="81">
        <v>0.9166666666666666</v>
      </c>
      <c r="Y13" s="83">
        <v>0.3020833333333333</v>
      </c>
      <c r="Z13" s="82"/>
      <c r="AA13" s="73">
        <f t="shared" si="5"/>
        <v>9.25</v>
      </c>
      <c r="AB13" s="80" t="s">
        <v>45</v>
      </c>
      <c r="AC13" s="83">
        <v>0.9479166666666666</v>
      </c>
      <c r="AD13" s="83">
        <v>0.3020833333333333</v>
      </c>
      <c r="AE13" s="87"/>
      <c r="AF13" s="73">
        <f t="shared" si="6"/>
        <v>8.5</v>
      </c>
      <c r="AG13" s="84" t="s">
        <v>20</v>
      </c>
      <c r="AH13" s="83">
        <v>0.9583333333333334</v>
      </c>
      <c r="AI13" s="83">
        <v>0.2916666666666667</v>
      </c>
      <c r="AJ13" s="82"/>
      <c r="AK13" s="73">
        <f t="shared" si="7"/>
        <v>8</v>
      </c>
    </row>
    <row r="14">
      <c r="A14" s="76" t="s">
        <v>81</v>
      </c>
      <c r="B14" s="76">
        <v>5.0</v>
      </c>
      <c r="C14" s="96"/>
      <c r="D14" s="96"/>
      <c r="E14" s="96"/>
      <c r="F14" s="96"/>
      <c r="G14" s="73">
        <f t="shared" si="1"/>
        <v>0</v>
      </c>
      <c r="H14" s="96"/>
      <c r="I14" s="96"/>
      <c r="J14" s="96"/>
      <c r="K14" s="96"/>
      <c r="L14" s="73">
        <f t="shared" si="2"/>
        <v>0</v>
      </c>
      <c r="M14" s="96"/>
      <c r="N14" s="96"/>
      <c r="O14" s="96"/>
      <c r="P14" s="96"/>
      <c r="Q14" s="73">
        <f t="shared" si="3"/>
        <v>0</v>
      </c>
      <c r="R14" s="96"/>
      <c r="S14" s="96"/>
      <c r="T14" s="96"/>
      <c r="U14" s="96"/>
      <c r="V14" s="73">
        <f t="shared" si="4"/>
        <v>0</v>
      </c>
      <c r="W14" s="96"/>
      <c r="X14" s="96"/>
      <c r="Y14" s="96"/>
      <c r="Z14" s="96"/>
      <c r="AA14" s="73">
        <f t="shared" si="5"/>
        <v>0</v>
      </c>
      <c r="AB14" s="90"/>
      <c r="AC14" s="91"/>
      <c r="AD14" s="91"/>
      <c r="AE14" s="90"/>
      <c r="AF14" s="73">
        <f t="shared" si="6"/>
        <v>0</v>
      </c>
      <c r="AG14" s="90"/>
      <c r="AH14" s="91"/>
      <c r="AI14" s="91"/>
      <c r="AJ14" s="91"/>
      <c r="AK14" s="73">
        <f t="shared" si="7"/>
        <v>0</v>
      </c>
    </row>
    <row r="15">
      <c r="A15" s="92"/>
      <c r="B15" s="92" t="s">
        <v>77</v>
      </c>
      <c r="C15" s="93">
        <v>15.0</v>
      </c>
      <c r="D15" s="64"/>
      <c r="E15" s="64"/>
      <c r="F15" s="63"/>
      <c r="G15" s="73">
        <f t="shared" si="1"/>
        <v>0</v>
      </c>
      <c r="H15" s="93">
        <v>16.0</v>
      </c>
      <c r="I15" s="64"/>
      <c r="J15" s="64"/>
      <c r="K15" s="63"/>
      <c r="L15" s="73">
        <f t="shared" si="2"/>
        <v>0</v>
      </c>
      <c r="M15" s="93">
        <v>17.0</v>
      </c>
      <c r="N15" s="64"/>
      <c r="O15" s="64"/>
      <c r="P15" s="63"/>
      <c r="Q15" s="73">
        <f t="shared" si="3"/>
        <v>0</v>
      </c>
      <c r="R15" s="93">
        <v>18.0</v>
      </c>
      <c r="S15" s="64"/>
      <c r="T15" s="64"/>
      <c r="U15" s="63"/>
      <c r="V15" s="73">
        <f t="shared" si="4"/>
        <v>0</v>
      </c>
      <c r="W15" s="93">
        <v>19.0</v>
      </c>
      <c r="X15" s="64"/>
      <c r="Y15" s="64"/>
      <c r="Z15" s="63"/>
      <c r="AA15" s="73">
        <f t="shared" si="5"/>
        <v>0</v>
      </c>
      <c r="AB15" s="94">
        <v>20.0</v>
      </c>
      <c r="AC15" s="64"/>
      <c r="AD15" s="64"/>
      <c r="AE15" s="63"/>
      <c r="AF15" s="73">
        <f t="shared" si="6"/>
        <v>0</v>
      </c>
      <c r="AG15" s="95">
        <v>21.0</v>
      </c>
      <c r="AH15" s="64"/>
      <c r="AI15" s="64"/>
      <c r="AJ15" s="63"/>
      <c r="AK15" s="73">
        <f t="shared" si="7"/>
        <v>0</v>
      </c>
    </row>
    <row r="16">
      <c r="A16" s="76" t="s">
        <v>82</v>
      </c>
      <c r="B16" s="76">
        <v>1.0</v>
      </c>
      <c r="C16" s="84" t="s">
        <v>79</v>
      </c>
      <c r="D16" s="83">
        <v>0.2708333333333333</v>
      </c>
      <c r="E16" s="83">
        <v>0.625</v>
      </c>
      <c r="F16" s="82"/>
      <c r="G16" s="73">
        <f t="shared" si="1"/>
        <v>8.5</v>
      </c>
      <c r="H16" s="84" t="s">
        <v>79</v>
      </c>
      <c r="I16" s="83">
        <v>0.2708333333333333</v>
      </c>
      <c r="J16" s="83">
        <v>0.625</v>
      </c>
      <c r="K16" s="82"/>
      <c r="L16" s="73">
        <f t="shared" si="2"/>
        <v>8.5</v>
      </c>
      <c r="M16" s="84" t="s">
        <v>79</v>
      </c>
      <c r="N16" s="83">
        <v>0.2708333333333333</v>
      </c>
      <c r="O16" s="83">
        <v>0.625</v>
      </c>
      <c r="P16" s="89"/>
      <c r="Q16" s="73">
        <f t="shared" si="3"/>
        <v>8.5</v>
      </c>
      <c r="R16" s="84" t="s">
        <v>79</v>
      </c>
      <c r="S16" s="83">
        <v>0.2708333333333333</v>
      </c>
      <c r="T16" s="83">
        <v>0.625</v>
      </c>
      <c r="U16" s="82"/>
      <c r="V16" s="73">
        <f t="shared" si="4"/>
        <v>8.5</v>
      </c>
      <c r="W16" s="84" t="s">
        <v>79</v>
      </c>
      <c r="X16" s="83">
        <v>0.2708333333333333</v>
      </c>
      <c r="Y16" s="83">
        <v>0.625</v>
      </c>
      <c r="Z16" s="82"/>
      <c r="AA16" s="73">
        <f t="shared" si="5"/>
        <v>8.5</v>
      </c>
      <c r="AB16" s="84" t="s">
        <v>41</v>
      </c>
      <c r="AC16" s="83">
        <v>0.3020833333333333</v>
      </c>
      <c r="AD16" s="83">
        <v>0.5104166666666666</v>
      </c>
      <c r="AE16" s="82"/>
      <c r="AF16" s="73">
        <f t="shared" si="6"/>
        <v>5</v>
      </c>
      <c r="AG16" s="80" t="s">
        <v>41</v>
      </c>
      <c r="AH16" s="83">
        <v>0.3020833333333333</v>
      </c>
      <c r="AI16" s="83">
        <v>0.5104166666666666</v>
      </c>
      <c r="AJ16" s="82"/>
      <c r="AK16" s="73">
        <f t="shared" si="7"/>
        <v>5</v>
      </c>
    </row>
    <row r="17">
      <c r="A17" s="76" t="s">
        <v>82</v>
      </c>
      <c r="B17" s="76">
        <v>2.0</v>
      </c>
      <c r="C17" s="80" t="s">
        <v>16</v>
      </c>
      <c r="D17" s="83">
        <v>0.625</v>
      </c>
      <c r="E17" s="83">
        <v>0.7708333333333334</v>
      </c>
      <c r="F17" s="82"/>
      <c r="G17" s="73">
        <f t="shared" si="1"/>
        <v>3.5</v>
      </c>
      <c r="H17" s="84" t="s">
        <v>25</v>
      </c>
      <c r="I17" s="83">
        <v>0.625</v>
      </c>
      <c r="J17" s="83">
        <v>0.7708333333333334</v>
      </c>
      <c r="K17" s="82"/>
      <c r="L17" s="73">
        <f t="shared" si="2"/>
        <v>3.5</v>
      </c>
      <c r="M17" s="84" t="s">
        <v>30</v>
      </c>
      <c r="N17" s="81">
        <v>0.6458333333333334</v>
      </c>
      <c r="O17" s="83">
        <v>0.9583333333333334</v>
      </c>
      <c r="P17" s="89"/>
      <c r="Q17" s="73">
        <f t="shared" si="3"/>
        <v>7.5</v>
      </c>
      <c r="R17" s="84" t="s">
        <v>25</v>
      </c>
      <c r="S17" s="83">
        <v>0.625</v>
      </c>
      <c r="T17" s="83">
        <v>0.7708333333333334</v>
      </c>
      <c r="U17" s="82"/>
      <c r="V17" s="73">
        <f t="shared" si="4"/>
        <v>3.5</v>
      </c>
      <c r="W17" s="80" t="s">
        <v>16</v>
      </c>
      <c r="X17" s="83">
        <v>0.625</v>
      </c>
      <c r="Y17" s="83">
        <v>0.7708333333333334</v>
      </c>
      <c r="Z17" s="82"/>
      <c r="AA17" s="73">
        <f t="shared" si="5"/>
        <v>3.5</v>
      </c>
      <c r="AB17" s="84" t="s">
        <v>36</v>
      </c>
      <c r="AC17" s="83">
        <v>0.5</v>
      </c>
      <c r="AD17" s="83">
        <v>0.6875</v>
      </c>
      <c r="AE17" s="82"/>
      <c r="AF17" s="73">
        <f t="shared" si="6"/>
        <v>4.5</v>
      </c>
      <c r="AG17" s="84" t="s">
        <v>36</v>
      </c>
      <c r="AH17" s="83">
        <v>0.5</v>
      </c>
      <c r="AI17" s="81">
        <v>0.6666666666666666</v>
      </c>
      <c r="AJ17" s="82"/>
      <c r="AK17" s="73">
        <f t="shared" si="7"/>
        <v>4</v>
      </c>
    </row>
    <row r="18">
      <c r="A18" s="76" t="s">
        <v>82</v>
      </c>
      <c r="B18" s="76">
        <v>3.0</v>
      </c>
      <c r="C18" s="84" t="s">
        <v>30</v>
      </c>
      <c r="D18" s="83">
        <v>0.7708333333333334</v>
      </c>
      <c r="E18" s="83">
        <v>0.9583333333333334</v>
      </c>
      <c r="F18" s="82"/>
      <c r="G18" s="73">
        <f t="shared" si="1"/>
        <v>4.5</v>
      </c>
      <c r="H18" s="84" t="s">
        <v>41</v>
      </c>
      <c r="I18" s="83">
        <v>0.7708333333333334</v>
      </c>
      <c r="J18" s="83">
        <v>0.9583333333333334</v>
      </c>
      <c r="K18" s="82"/>
      <c r="L18" s="73">
        <f t="shared" si="2"/>
        <v>4.5</v>
      </c>
      <c r="M18" s="84" t="s">
        <v>20</v>
      </c>
      <c r="N18" s="81">
        <v>0.9166666666666666</v>
      </c>
      <c r="O18" s="83">
        <v>0.2708333333333333</v>
      </c>
      <c r="P18" s="89"/>
      <c r="Q18" s="73">
        <f t="shared" si="3"/>
        <v>8.5</v>
      </c>
      <c r="R18" s="84" t="s">
        <v>41</v>
      </c>
      <c r="S18" s="83">
        <v>0.7708333333333334</v>
      </c>
      <c r="T18" s="83">
        <v>0.9583333333333334</v>
      </c>
      <c r="U18" s="82"/>
      <c r="V18" s="73">
        <f t="shared" si="4"/>
        <v>4.5</v>
      </c>
      <c r="W18" s="84" t="s">
        <v>30</v>
      </c>
      <c r="X18" s="83">
        <v>0.7708333333333334</v>
      </c>
      <c r="Y18" s="83">
        <v>0.9583333333333334</v>
      </c>
      <c r="Z18" s="82"/>
      <c r="AA18" s="73">
        <f t="shared" si="5"/>
        <v>4.5</v>
      </c>
      <c r="AB18" s="84" t="s">
        <v>25</v>
      </c>
      <c r="AC18" s="83">
        <v>0.6666666666666666</v>
      </c>
      <c r="AD18" s="83">
        <v>0.9583333333333334</v>
      </c>
      <c r="AE18" s="82"/>
      <c r="AF18" s="73">
        <f t="shared" si="6"/>
        <v>7</v>
      </c>
      <c r="AG18" s="84" t="s">
        <v>25</v>
      </c>
      <c r="AH18" s="83">
        <v>0.6666666666666666</v>
      </c>
      <c r="AI18" s="83">
        <v>0.9583333333333334</v>
      </c>
      <c r="AJ18" s="82"/>
      <c r="AK18" s="73">
        <f t="shared" si="7"/>
        <v>7</v>
      </c>
    </row>
    <row r="19">
      <c r="A19" s="76" t="s">
        <v>82</v>
      </c>
      <c r="B19" s="76">
        <v>4.0</v>
      </c>
      <c r="C19" s="84" t="s">
        <v>20</v>
      </c>
      <c r="D19" s="81">
        <v>0.9166666666666666</v>
      </c>
      <c r="E19" s="83">
        <v>0.2708333333333333</v>
      </c>
      <c r="F19" s="82"/>
      <c r="G19" s="73">
        <f t="shared" si="1"/>
        <v>8.5</v>
      </c>
      <c r="H19" s="84" t="s">
        <v>20</v>
      </c>
      <c r="I19" s="81">
        <v>0.9166666666666666</v>
      </c>
      <c r="J19" s="83">
        <v>0.2708333333333333</v>
      </c>
      <c r="K19" s="82"/>
      <c r="L19" s="73">
        <f t="shared" si="2"/>
        <v>8.5</v>
      </c>
      <c r="M19" s="84"/>
      <c r="N19" s="83"/>
      <c r="O19" s="83"/>
      <c r="P19" s="89"/>
      <c r="Q19" s="73">
        <f t="shared" si="3"/>
        <v>0</v>
      </c>
      <c r="R19" s="84" t="s">
        <v>20</v>
      </c>
      <c r="S19" s="81">
        <v>0.9166666666666666</v>
      </c>
      <c r="T19" s="83">
        <v>0.2708333333333333</v>
      </c>
      <c r="U19" s="82"/>
      <c r="V19" s="73">
        <f t="shared" si="4"/>
        <v>8.5</v>
      </c>
      <c r="W19" s="84" t="s">
        <v>45</v>
      </c>
      <c r="X19" s="81">
        <v>0.9166666666666666</v>
      </c>
      <c r="Y19" s="83">
        <v>0.3020833333333333</v>
      </c>
      <c r="Z19" s="82"/>
      <c r="AA19" s="73">
        <f t="shared" si="5"/>
        <v>9.25</v>
      </c>
      <c r="AB19" s="84" t="s">
        <v>45</v>
      </c>
      <c r="AC19" s="83">
        <v>0.9479166666666666</v>
      </c>
      <c r="AD19" s="83">
        <v>0.3020833333333333</v>
      </c>
      <c r="AE19" s="87"/>
      <c r="AF19" s="73">
        <f t="shared" si="6"/>
        <v>8.5</v>
      </c>
      <c r="AG19" s="84" t="s">
        <v>20</v>
      </c>
      <c r="AH19" s="83">
        <v>0.9583333333333334</v>
      </c>
      <c r="AI19" s="83">
        <v>0.2916666666666667</v>
      </c>
      <c r="AJ19" s="82"/>
      <c r="AK19" s="73">
        <f t="shared" si="7"/>
        <v>8</v>
      </c>
    </row>
    <row r="20">
      <c r="A20" s="76" t="s">
        <v>82</v>
      </c>
      <c r="B20" s="76">
        <v>5.0</v>
      </c>
      <c r="C20" s="96"/>
      <c r="D20" s="96"/>
      <c r="E20" s="96"/>
      <c r="F20" s="96"/>
      <c r="G20" s="73">
        <f t="shared" si="1"/>
        <v>0</v>
      </c>
      <c r="H20" s="96"/>
      <c r="I20" s="96"/>
      <c r="J20" s="96"/>
      <c r="K20" s="96"/>
      <c r="L20" s="73">
        <f t="shared" si="2"/>
        <v>0</v>
      </c>
      <c r="M20" s="96"/>
      <c r="N20" s="96"/>
      <c r="O20" s="96"/>
      <c r="P20" s="96"/>
      <c r="Q20" s="73">
        <f t="shared" si="3"/>
        <v>0</v>
      </c>
      <c r="R20" s="96"/>
      <c r="S20" s="96"/>
      <c r="T20" s="96"/>
      <c r="U20" s="96"/>
      <c r="V20" s="73">
        <f t="shared" si="4"/>
        <v>0</v>
      </c>
      <c r="W20" s="96"/>
      <c r="X20" s="96"/>
      <c r="Y20" s="96"/>
      <c r="Z20" s="96"/>
      <c r="AA20" s="73">
        <f t="shared" si="5"/>
        <v>0</v>
      </c>
      <c r="AB20" s="90"/>
      <c r="AC20" s="91"/>
      <c r="AD20" s="91"/>
      <c r="AE20" s="90"/>
      <c r="AF20" s="73">
        <f t="shared" si="6"/>
        <v>0</v>
      </c>
      <c r="AG20" s="90"/>
      <c r="AH20" s="91"/>
      <c r="AI20" s="91"/>
      <c r="AJ20" s="91"/>
      <c r="AK20" s="73">
        <f t="shared" si="7"/>
        <v>0</v>
      </c>
    </row>
    <row r="21">
      <c r="A21" s="92"/>
      <c r="B21" s="92" t="s">
        <v>77</v>
      </c>
      <c r="C21" s="93">
        <v>22.0</v>
      </c>
      <c r="D21" s="64"/>
      <c r="E21" s="64"/>
      <c r="F21" s="63"/>
      <c r="G21" s="73">
        <f t="shared" si="1"/>
        <v>0</v>
      </c>
      <c r="H21" s="93">
        <v>23.0</v>
      </c>
      <c r="I21" s="64"/>
      <c r="J21" s="64"/>
      <c r="K21" s="63"/>
      <c r="L21" s="73">
        <f t="shared" si="2"/>
        <v>0</v>
      </c>
      <c r="M21" s="93">
        <v>24.0</v>
      </c>
      <c r="N21" s="64"/>
      <c r="O21" s="64"/>
      <c r="P21" s="63"/>
      <c r="Q21" s="73">
        <f t="shared" si="3"/>
        <v>0</v>
      </c>
      <c r="R21" s="93">
        <v>25.0</v>
      </c>
      <c r="S21" s="64"/>
      <c r="T21" s="64"/>
      <c r="U21" s="63"/>
      <c r="V21" s="73">
        <f t="shared" si="4"/>
        <v>0</v>
      </c>
      <c r="W21" s="93">
        <v>26.0</v>
      </c>
      <c r="X21" s="64"/>
      <c r="Y21" s="64"/>
      <c r="Z21" s="63"/>
      <c r="AA21" s="73">
        <f t="shared" si="5"/>
        <v>0</v>
      </c>
      <c r="AB21" s="94">
        <v>27.0</v>
      </c>
      <c r="AC21" s="64"/>
      <c r="AD21" s="64"/>
      <c r="AE21" s="63"/>
      <c r="AF21" s="73">
        <f t="shared" si="6"/>
        <v>0</v>
      </c>
      <c r="AG21" s="95">
        <v>28.0</v>
      </c>
      <c r="AH21" s="64"/>
      <c r="AI21" s="64"/>
      <c r="AJ21" s="63"/>
      <c r="AK21" s="73">
        <f t="shared" si="7"/>
        <v>0</v>
      </c>
    </row>
    <row r="22">
      <c r="A22" s="76" t="s">
        <v>83</v>
      </c>
      <c r="B22" s="76">
        <v>1.0</v>
      </c>
      <c r="C22" s="84" t="s">
        <v>79</v>
      </c>
      <c r="D22" s="83">
        <v>0.2708333333333333</v>
      </c>
      <c r="E22" s="83">
        <v>0.625</v>
      </c>
      <c r="F22" s="82"/>
      <c r="G22" s="73">
        <f t="shared" si="1"/>
        <v>8.5</v>
      </c>
      <c r="H22" s="84" t="s">
        <v>79</v>
      </c>
      <c r="I22" s="83">
        <v>0.2708333333333333</v>
      </c>
      <c r="J22" s="81">
        <v>0.625</v>
      </c>
      <c r="K22" s="82"/>
      <c r="L22" s="73">
        <f t="shared" si="2"/>
        <v>8.5</v>
      </c>
      <c r="M22" s="84" t="s">
        <v>79</v>
      </c>
      <c r="N22" s="83">
        <v>0.2708333333333333</v>
      </c>
      <c r="O22" s="83">
        <v>0.625</v>
      </c>
      <c r="P22" s="89"/>
      <c r="Q22" s="73">
        <f t="shared" si="3"/>
        <v>8.5</v>
      </c>
      <c r="R22" s="84" t="s">
        <v>79</v>
      </c>
      <c r="S22" s="83">
        <v>0.2708333333333333</v>
      </c>
      <c r="T22" s="81">
        <v>0.625</v>
      </c>
      <c r="U22" s="82"/>
      <c r="V22" s="73">
        <f t="shared" si="4"/>
        <v>8.5</v>
      </c>
      <c r="W22" s="84" t="s">
        <v>79</v>
      </c>
      <c r="X22" s="83">
        <v>0.2708333333333333</v>
      </c>
      <c r="Y22" s="83">
        <v>0.625</v>
      </c>
      <c r="Z22" s="89"/>
      <c r="AA22" s="73">
        <f t="shared" si="5"/>
        <v>8.5</v>
      </c>
      <c r="AB22" s="84" t="s">
        <v>41</v>
      </c>
      <c r="AC22" s="83">
        <v>0.3020833333333333</v>
      </c>
      <c r="AD22" s="83">
        <v>0.5104166666666666</v>
      </c>
      <c r="AE22" s="82"/>
      <c r="AF22" s="73">
        <f t="shared" si="6"/>
        <v>5</v>
      </c>
      <c r="AG22" s="80" t="s">
        <v>80</v>
      </c>
      <c r="AH22" s="83">
        <v>0.3020833333333333</v>
      </c>
      <c r="AI22" s="83">
        <v>0.5104166666666666</v>
      </c>
      <c r="AJ22" s="82"/>
      <c r="AK22" s="73">
        <f t="shared" si="7"/>
        <v>5</v>
      </c>
    </row>
    <row r="23">
      <c r="A23" s="76" t="s">
        <v>83</v>
      </c>
      <c r="B23" s="76">
        <v>2.0</v>
      </c>
      <c r="C23" s="80" t="s">
        <v>16</v>
      </c>
      <c r="D23" s="83">
        <v>0.625</v>
      </c>
      <c r="E23" s="83">
        <v>0.7708333333333334</v>
      </c>
      <c r="F23" s="82"/>
      <c r="G23" s="73">
        <f t="shared" si="1"/>
        <v>3.5</v>
      </c>
      <c r="H23" s="84" t="s">
        <v>25</v>
      </c>
      <c r="I23" s="83">
        <v>0.625</v>
      </c>
      <c r="J23" s="83">
        <v>0.7708333333333334</v>
      </c>
      <c r="K23" s="82"/>
      <c r="L23" s="73">
        <f t="shared" si="2"/>
        <v>3.5</v>
      </c>
      <c r="M23" s="80" t="s">
        <v>36</v>
      </c>
      <c r="N23" s="83">
        <v>0.625</v>
      </c>
      <c r="O23" s="81">
        <v>0.7916666666666666</v>
      </c>
      <c r="P23" s="89"/>
      <c r="Q23" s="73">
        <f t="shared" si="3"/>
        <v>4</v>
      </c>
      <c r="R23" s="84" t="s">
        <v>25</v>
      </c>
      <c r="S23" s="81">
        <v>0.625</v>
      </c>
      <c r="T23" s="83">
        <v>0.7708333333333334</v>
      </c>
      <c r="U23" s="82"/>
      <c r="V23" s="73">
        <f t="shared" si="4"/>
        <v>3.5</v>
      </c>
      <c r="W23" s="80" t="s">
        <v>16</v>
      </c>
      <c r="X23" s="83">
        <v>0.625</v>
      </c>
      <c r="Y23" s="81">
        <v>0.7708333333333334</v>
      </c>
      <c r="Z23" s="89"/>
      <c r="AA23" s="73">
        <f t="shared" si="5"/>
        <v>3.5</v>
      </c>
      <c r="AB23" s="84" t="s">
        <v>36</v>
      </c>
      <c r="AC23" s="83">
        <v>0.5</v>
      </c>
      <c r="AD23" s="83">
        <v>0.6875</v>
      </c>
      <c r="AE23" s="82"/>
      <c r="AF23" s="73">
        <f t="shared" si="6"/>
        <v>4.5</v>
      </c>
      <c r="AG23" s="84" t="s">
        <v>36</v>
      </c>
      <c r="AH23" s="83">
        <v>0.5</v>
      </c>
      <c r="AI23" s="81">
        <v>0.6666666666666666</v>
      </c>
      <c r="AJ23" s="82"/>
      <c r="AK23" s="73">
        <f t="shared" si="7"/>
        <v>4</v>
      </c>
    </row>
    <row r="24">
      <c r="A24" s="76" t="s">
        <v>83</v>
      </c>
      <c r="B24" s="76">
        <v>3.0</v>
      </c>
      <c r="C24" s="84" t="s">
        <v>30</v>
      </c>
      <c r="D24" s="83">
        <v>0.7708333333333334</v>
      </c>
      <c r="E24" s="83">
        <v>0.9583333333333334</v>
      </c>
      <c r="F24" s="82"/>
      <c r="G24" s="73">
        <f t="shared" si="1"/>
        <v>4.5</v>
      </c>
      <c r="H24" s="84" t="s">
        <v>41</v>
      </c>
      <c r="I24" s="83">
        <v>0.7708333333333334</v>
      </c>
      <c r="J24" s="83">
        <v>0.9583333333333334</v>
      </c>
      <c r="K24" s="82"/>
      <c r="L24" s="73">
        <f t="shared" si="2"/>
        <v>4.5</v>
      </c>
      <c r="M24" s="84" t="s">
        <v>30</v>
      </c>
      <c r="N24" s="83">
        <v>0.7708333333333334</v>
      </c>
      <c r="O24" s="83">
        <v>0.9583333333333334</v>
      </c>
      <c r="P24" s="89"/>
      <c r="Q24" s="73">
        <f t="shared" si="3"/>
        <v>4.5</v>
      </c>
      <c r="R24" s="84" t="s">
        <v>41</v>
      </c>
      <c r="S24" s="83">
        <v>0.7708333333333334</v>
      </c>
      <c r="T24" s="83">
        <v>0.9583333333333334</v>
      </c>
      <c r="U24" s="82"/>
      <c r="V24" s="73">
        <f t="shared" si="4"/>
        <v>4.5</v>
      </c>
      <c r="W24" s="84" t="s">
        <v>30</v>
      </c>
      <c r="X24" s="81">
        <v>0.7708333333333334</v>
      </c>
      <c r="Y24" s="83">
        <v>0.9583333333333334</v>
      </c>
      <c r="Z24" s="89"/>
      <c r="AA24" s="73">
        <f t="shared" si="5"/>
        <v>4.5</v>
      </c>
      <c r="AB24" s="84" t="s">
        <v>25</v>
      </c>
      <c r="AC24" s="83">
        <v>0.6666666666666666</v>
      </c>
      <c r="AD24" s="83">
        <v>0.9583333333333334</v>
      </c>
      <c r="AE24" s="82"/>
      <c r="AF24" s="73">
        <f t="shared" si="6"/>
        <v>7</v>
      </c>
      <c r="AG24" s="84" t="s">
        <v>25</v>
      </c>
      <c r="AH24" s="83">
        <v>0.6666666666666666</v>
      </c>
      <c r="AI24" s="83">
        <v>0.9583333333333334</v>
      </c>
      <c r="AJ24" s="82"/>
      <c r="AK24" s="73">
        <f t="shared" si="7"/>
        <v>7</v>
      </c>
    </row>
    <row r="25">
      <c r="A25" s="76" t="s">
        <v>83</v>
      </c>
      <c r="B25" s="76">
        <v>4.0</v>
      </c>
      <c r="C25" s="84" t="s">
        <v>20</v>
      </c>
      <c r="D25" s="81">
        <v>0.9166666666666666</v>
      </c>
      <c r="E25" s="83">
        <v>0.2708333333333333</v>
      </c>
      <c r="F25" s="82"/>
      <c r="G25" s="73">
        <f t="shared" si="1"/>
        <v>8.5</v>
      </c>
      <c r="H25" s="84" t="s">
        <v>20</v>
      </c>
      <c r="I25" s="81">
        <v>0.9166666666666666</v>
      </c>
      <c r="J25" s="83">
        <v>0.2708333333333333</v>
      </c>
      <c r="K25" s="82"/>
      <c r="L25" s="73">
        <f t="shared" si="2"/>
        <v>8.5</v>
      </c>
      <c r="M25" s="84" t="s">
        <v>20</v>
      </c>
      <c r="N25" s="81">
        <v>0.9166666666666666</v>
      </c>
      <c r="O25" s="83">
        <v>0.2708333333333333</v>
      </c>
      <c r="P25" s="89"/>
      <c r="Q25" s="73">
        <f t="shared" si="3"/>
        <v>8.5</v>
      </c>
      <c r="R25" s="84" t="s">
        <v>20</v>
      </c>
      <c r="S25" s="81">
        <v>0.9166666666666666</v>
      </c>
      <c r="T25" s="83">
        <v>0.2708333333333333</v>
      </c>
      <c r="U25" s="82"/>
      <c r="V25" s="73">
        <f t="shared" si="4"/>
        <v>8.5</v>
      </c>
      <c r="W25" s="84" t="s">
        <v>45</v>
      </c>
      <c r="X25" s="81">
        <v>0.9166666666666666</v>
      </c>
      <c r="Y25" s="83">
        <v>0.3020833333333333</v>
      </c>
      <c r="Z25" s="89"/>
      <c r="AA25" s="73">
        <f t="shared" si="5"/>
        <v>9.25</v>
      </c>
      <c r="AB25" s="84" t="s">
        <v>45</v>
      </c>
      <c r="AC25" s="83">
        <v>0.9479166666666666</v>
      </c>
      <c r="AD25" s="83">
        <v>0.3020833333333333</v>
      </c>
      <c r="AE25" s="87"/>
      <c r="AF25" s="73">
        <f t="shared" si="6"/>
        <v>8.5</v>
      </c>
      <c r="AG25" s="84" t="s">
        <v>20</v>
      </c>
      <c r="AH25" s="83">
        <v>0.9583333333333334</v>
      </c>
      <c r="AI25" s="83">
        <v>0.2916666666666667</v>
      </c>
      <c r="AJ25" s="82"/>
      <c r="AK25" s="73">
        <f t="shared" si="7"/>
        <v>8</v>
      </c>
    </row>
    <row r="26">
      <c r="A26" s="76" t="s">
        <v>83</v>
      </c>
      <c r="B26" s="76">
        <v>5.0</v>
      </c>
      <c r="C26" s="96"/>
      <c r="D26" s="96"/>
      <c r="E26" s="96"/>
      <c r="F26" s="96"/>
      <c r="G26" s="73">
        <f t="shared" si="1"/>
        <v>0</v>
      </c>
      <c r="H26" s="84"/>
      <c r="I26" s="81"/>
      <c r="J26" s="83"/>
      <c r="K26" s="96"/>
      <c r="L26" s="73">
        <f t="shared" si="2"/>
        <v>0</v>
      </c>
      <c r="M26" s="96"/>
      <c r="N26" s="96"/>
      <c r="O26" s="96"/>
      <c r="P26" s="96"/>
      <c r="Q26" s="73">
        <f t="shared" si="3"/>
        <v>0</v>
      </c>
      <c r="R26" s="96"/>
      <c r="S26" s="96"/>
      <c r="T26" s="96"/>
      <c r="U26" s="96"/>
      <c r="V26" s="73">
        <f t="shared" si="4"/>
        <v>0</v>
      </c>
      <c r="W26" s="96"/>
      <c r="X26" s="96"/>
      <c r="Y26" s="96"/>
      <c r="Z26" s="96"/>
      <c r="AA26" s="73">
        <f t="shared" si="5"/>
        <v>0</v>
      </c>
      <c r="AB26" s="90"/>
      <c r="AC26" s="91"/>
      <c r="AD26" s="91"/>
      <c r="AE26" s="90"/>
      <c r="AF26" s="73">
        <f t="shared" si="6"/>
        <v>0</v>
      </c>
      <c r="AG26" s="90"/>
      <c r="AH26" s="91"/>
      <c r="AI26" s="91"/>
      <c r="AJ26" s="91"/>
      <c r="AK26" s="73">
        <f t="shared" si="7"/>
        <v>0</v>
      </c>
    </row>
    <row r="27">
      <c r="A27" s="92"/>
      <c r="B27" s="92" t="s">
        <v>77</v>
      </c>
      <c r="C27" s="97">
        <v>29.0</v>
      </c>
      <c r="D27" s="64"/>
      <c r="E27" s="64"/>
      <c r="F27" s="63"/>
      <c r="G27" s="73">
        <f t="shared" si="1"/>
        <v>0</v>
      </c>
      <c r="H27" s="97">
        <v>30.0</v>
      </c>
      <c r="I27" s="64"/>
      <c r="J27" s="64"/>
      <c r="K27" s="63"/>
      <c r="L27" s="73">
        <f t="shared" si="2"/>
        <v>0</v>
      </c>
      <c r="M27" s="97"/>
      <c r="N27" s="64"/>
      <c r="O27" s="64"/>
      <c r="P27" s="63"/>
      <c r="Q27" s="73">
        <f t="shared" si="3"/>
        <v>0</v>
      </c>
      <c r="R27" s="97"/>
      <c r="S27" s="64"/>
      <c r="T27" s="64"/>
      <c r="U27" s="63"/>
      <c r="V27" s="73">
        <f t="shared" si="4"/>
        <v>0</v>
      </c>
      <c r="W27" s="97"/>
      <c r="X27" s="64"/>
      <c r="Y27" s="64"/>
      <c r="Z27" s="63"/>
      <c r="AA27" s="73">
        <f t="shared" si="5"/>
        <v>0</v>
      </c>
      <c r="AB27" s="98"/>
      <c r="AC27" s="64"/>
      <c r="AD27" s="64"/>
      <c r="AE27" s="63"/>
      <c r="AF27" s="73">
        <f t="shared" si="6"/>
        <v>0</v>
      </c>
      <c r="AG27" s="99"/>
      <c r="AH27" s="64"/>
      <c r="AI27" s="64"/>
      <c r="AJ27" s="63"/>
      <c r="AK27" s="73">
        <f t="shared" si="7"/>
        <v>0</v>
      </c>
    </row>
    <row r="28">
      <c r="A28" s="76" t="s">
        <v>84</v>
      </c>
      <c r="B28" s="76">
        <v>1.0</v>
      </c>
      <c r="C28" s="84" t="s">
        <v>79</v>
      </c>
      <c r="D28" s="83">
        <v>0.2708333333333333</v>
      </c>
      <c r="E28" s="83">
        <v>0.625</v>
      </c>
      <c r="F28" s="82"/>
      <c r="G28" s="73">
        <f t="shared" si="1"/>
        <v>8.5</v>
      </c>
      <c r="H28" s="84" t="s">
        <v>79</v>
      </c>
      <c r="I28" s="83">
        <v>0.2708333333333333</v>
      </c>
      <c r="J28" s="81">
        <v>0.625</v>
      </c>
      <c r="K28" s="91"/>
      <c r="L28" s="73">
        <f t="shared" si="2"/>
        <v>8.5</v>
      </c>
      <c r="M28" s="90"/>
      <c r="N28" s="91"/>
      <c r="O28" s="91"/>
      <c r="P28" s="91"/>
      <c r="Q28" s="73">
        <f t="shared" si="3"/>
        <v>0</v>
      </c>
      <c r="R28" s="90"/>
      <c r="S28" s="91"/>
      <c r="T28" s="91"/>
      <c r="U28" s="91"/>
      <c r="V28" s="73">
        <f t="shared" si="4"/>
        <v>0</v>
      </c>
      <c r="W28" s="90"/>
      <c r="X28" s="91"/>
      <c r="Y28" s="91"/>
      <c r="Z28" s="91"/>
      <c r="AA28" s="73">
        <f t="shared" si="5"/>
        <v>0</v>
      </c>
      <c r="AB28" s="90"/>
      <c r="AC28" s="91"/>
      <c r="AD28" s="91"/>
      <c r="AE28" s="91"/>
      <c r="AF28" s="73">
        <f t="shared" si="6"/>
        <v>0</v>
      </c>
      <c r="AG28" s="90"/>
      <c r="AH28" s="91"/>
      <c r="AI28" s="91"/>
      <c r="AJ28" s="91"/>
      <c r="AK28" s="73">
        <f t="shared" si="7"/>
        <v>0</v>
      </c>
    </row>
    <row r="29">
      <c r="A29" s="76" t="s">
        <v>84</v>
      </c>
      <c r="B29" s="76">
        <v>2.0</v>
      </c>
      <c r="C29" s="80" t="s">
        <v>16</v>
      </c>
      <c r="D29" s="83">
        <v>0.625</v>
      </c>
      <c r="E29" s="83">
        <v>0.7708333333333334</v>
      </c>
      <c r="F29" s="82"/>
      <c r="G29" s="73">
        <f t="shared" si="1"/>
        <v>3.5</v>
      </c>
      <c r="H29" s="84" t="s">
        <v>25</v>
      </c>
      <c r="I29" s="83">
        <v>0.625</v>
      </c>
      <c r="J29" s="83">
        <v>0.7708333333333334</v>
      </c>
      <c r="K29" s="91"/>
      <c r="L29" s="73">
        <f t="shared" si="2"/>
        <v>3.5</v>
      </c>
      <c r="M29" s="90"/>
      <c r="N29" s="91"/>
      <c r="O29" s="91"/>
      <c r="P29" s="91"/>
      <c r="Q29" s="73">
        <f t="shared" si="3"/>
        <v>0</v>
      </c>
      <c r="R29" s="90"/>
      <c r="S29" s="91"/>
      <c r="T29" s="91"/>
      <c r="U29" s="91"/>
      <c r="V29" s="73">
        <f t="shared" si="4"/>
        <v>0</v>
      </c>
      <c r="W29" s="90"/>
      <c r="X29" s="91"/>
      <c r="Y29" s="91"/>
      <c r="Z29" s="91"/>
      <c r="AA29" s="73">
        <f t="shared" si="5"/>
        <v>0</v>
      </c>
      <c r="AB29" s="90"/>
      <c r="AC29" s="91"/>
      <c r="AD29" s="91"/>
      <c r="AE29" s="91"/>
      <c r="AF29" s="73">
        <f t="shared" si="6"/>
        <v>0</v>
      </c>
      <c r="AG29" s="90"/>
      <c r="AH29" s="91"/>
      <c r="AI29" s="91"/>
      <c r="AJ29" s="91"/>
      <c r="AK29" s="73">
        <f t="shared" si="7"/>
        <v>0</v>
      </c>
    </row>
    <row r="30">
      <c r="A30" s="76" t="s">
        <v>84</v>
      </c>
      <c r="B30" s="76">
        <v>3.0</v>
      </c>
      <c r="C30" s="84" t="s">
        <v>30</v>
      </c>
      <c r="D30" s="83">
        <v>0.7708333333333334</v>
      </c>
      <c r="E30" s="83">
        <v>0.9583333333333334</v>
      </c>
      <c r="F30" s="82"/>
      <c r="G30" s="73">
        <f t="shared" si="1"/>
        <v>4.5</v>
      </c>
      <c r="H30" s="84" t="s">
        <v>41</v>
      </c>
      <c r="I30" s="83">
        <v>0.7708333333333334</v>
      </c>
      <c r="J30" s="83">
        <v>0.9583333333333334</v>
      </c>
      <c r="K30" s="91"/>
      <c r="L30" s="73">
        <f t="shared" si="2"/>
        <v>4.5</v>
      </c>
      <c r="M30" s="90"/>
      <c r="N30" s="91"/>
      <c r="O30" s="91"/>
      <c r="P30" s="91"/>
      <c r="Q30" s="73">
        <f t="shared" si="3"/>
        <v>0</v>
      </c>
      <c r="R30" s="90"/>
      <c r="S30" s="91"/>
      <c r="T30" s="91"/>
      <c r="U30" s="91"/>
      <c r="V30" s="73">
        <f t="shared" si="4"/>
        <v>0</v>
      </c>
      <c r="W30" s="90"/>
      <c r="X30" s="91"/>
      <c r="Y30" s="91"/>
      <c r="Z30" s="91"/>
      <c r="AA30" s="73">
        <f t="shared" si="5"/>
        <v>0</v>
      </c>
      <c r="AB30" s="90"/>
      <c r="AC30" s="91"/>
      <c r="AD30" s="91"/>
      <c r="AE30" s="91"/>
      <c r="AF30" s="73">
        <f t="shared" si="6"/>
        <v>0</v>
      </c>
      <c r="AG30" s="90"/>
      <c r="AH30" s="91"/>
      <c r="AI30" s="91"/>
      <c r="AJ30" s="91"/>
      <c r="AK30" s="73">
        <f t="shared" si="7"/>
        <v>0</v>
      </c>
    </row>
    <row r="31">
      <c r="A31" s="76" t="s">
        <v>84</v>
      </c>
      <c r="B31" s="76">
        <v>4.0</v>
      </c>
      <c r="C31" s="84" t="s">
        <v>20</v>
      </c>
      <c r="D31" s="81">
        <v>0.9166666666666666</v>
      </c>
      <c r="E31" s="83">
        <v>0.2708333333333333</v>
      </c>
      <c r="F31" s="82"/>
      <c r="G31" s="73">
        <f t="shared" si="1"/>
        <v>8.5</v>
      </c>
      <c r="H31" s="84" t="s">
        <v>20</v>
      </c>
      <c r="I31" s="81">
        <v>0.9166666666666666</v>
      </c>
      <c r="J31" s="83">
        <v>0.2708333333333333</v>
      </c>
      <c r="K31" s="90"/>
      <c r="L31" s="73">
        <f t="shared" si="2"/>
        <v>8.5</v>
      </c>
      <c r="M31" s="100"/>
      <c r="N31" s="101"/>
      <c r="O31" s="101"/>
      <c r="P31" s="91"/>
      <c r="Q31" s="73">
        <f t="shared" si="3"/>
        <v>0</v>
      </c>
      <c r="R31" s="100"/>
      <c r="S31" s="101"/>
      <c r="T31" s="101"/>
      <c r="U31" s="91"/>
      <c r="V31" s="73">
        <f t="shared" si="4"/>
        <v>0</v>
      </c>
      <c r="W31" s="100"/>
      <c r="X31" s="101"/>
      <c r="Y31" s="101"/>
      <c r="Z31" s="91"/>
      <c r="AA31" s="73">
        <f t="shared" si="5"/>
        <v>0</v>
      </c>
      <c r="AB31" s="100"/>
      <c r="AC31" s="101"/>
      <c r="AD31" s="101"/>
      <c r="AE31" s="91"/>
      <c r="AF31" s="73">
        <f t="shared" si="6"/>
        <v>0</v>
      </c>
      <c r="AG31" s="100"/>
      <c r="AH31" s="101"/>
      <c r="AI31" s="101"/>
      <c r="AJ31" s="91"/>
      <c r="AK31" s="73">
        <f t="shared" si="7"/>
        <v>0</v>
      </c>
    </row>
    <row r="32">
      <c r="A32" s="76" t="s">
        <v>84</v>
      </c>
      <c r="B32" s="76">
        <v>5.0</v>
      </c>
      <c r="C32" s="90"/>
      <c r="D32" s="91"/>
      <c r="E32" s="91"/>
      <c r="F32" s="90"/>
      <c r="G32" s="73">
        <f t="shared" si="1"/>
        <v>0</v>
      </c>
      <c r="H32" s="90"/>
      <c r="I32" s="91"/>
      <c r="J32" s="91"/>
      <c r="K32" s="90"/>
      <c r="L32" s="73">
        <f t="shared" si="2"/>
        <v>0</v>
      </c>
      <c r="M32" s="90"/>
      <c r="N32" s="91"/>
      <c r="O32" s="91"/>
      <c r="P32" s="90"/>
      <c r="Q32" s="73">
        <f t="shared" si="3"/>
        <v>0</v>
      </c>
      <c r="R32" s="90"/>
      <c r="S32" s="91"/>
      <c r="T32" s="91"/>
      <c r="U32" s="90"/>
      <c r="V32" s="73">
        <f t="shared" si="4"/>
        <v>0</v>
      </c>
      <c r="W32" s="90"/>
      <c r="X32" s="91"/>
      <c r="Y32" s="91"/>
      <c r="Z32" s="90"/>
      <c r="AA32" s="73">
        <f t="shared" si="5"/>
        <v>0</v>
      </c>
      <c r="AB32" s="90"/>
      <c r="AC32" s="91"/>
      <c r="AD32" s="91"/>
      <c r="AE32" s="90"/>
      <c r="AF32" s="73">
        <f t="shared" si="6"/>
        <v>0</v>
      </c>
      <c r="AG32" s="90"/>
      <c r="AH32" s="91"/>
      <c r="AI32" s="91"/>
      <c r="AJ32" s="90"/>
      <c r="AK32" s="73">
        <f t="shared" si="7"/>
        <v>0</v>
      </c>
    </row>
    <row r="33">
      <c r="A33" s="70"/>
      <c r="B33" s="70" t="s">
        <v>77</v>
      </c>
      <c r="C33" s="102"/>
      <c r="D33" s="64"/>
      <c r="E33" s="64"/>
      <c r="F33" s="63"/>
      <c r="G33" s="73">
        <f t="shared" si="1"/>
        <v>0</v>
      </c>
      <c r="H33" s="102"/>
      <c r="I33" s="64"/>
      <c r="J33" s="64"/>
      <c r="K33" s="63"/>
      <c r="L33" s="73">
        <f t="shared" si="2"/>
        <v>0</v>
      </c>
      <c r="M33" s="102"/>
      <c r="N33" s="64"/>
      <c r="O33" s="64"/>
      <c r="P33" s="63"/>
      <c r="Q33" s="73">
        <f t="shared" si="3"/>
        <v>0</v>
      </c>
      <c r="R33" s="102"/>
      <c r="S33" s="64"/>
      <c r="T33" s="64"/>
      <c r="U33" s="63"/>
      <c r="V33" s="73">
        <f t="shared" si="4"/>
        <v>0</v>
      </c>
      <c r="W33" s="102"/>
      <c r="X33" s="64"/>
      <c r="Y33" s="64"/>
      <c r="Z33" s="63"/>
      <c r="AA33" s="73">
        <f t="shared" si="5"/>
        <v>0</v>
      </c>
      <c r="AB33" s="74"/>
      <c r="AC33" s="64"/>
      <c r="AD33" s="64"/>
      <c r="AE33" s="63"/>
      <c r="AF33" s="73">
        <f t="shared" si="6"/>
        <v>0</v>
      </c>
      <c r="AG33" s="103"/>
      <c r="AH33" s="64"/>
      <c r="AI33" s="64"/>
      <c r="AJ33" s="63"/>
      <c r="AK33" s="73">
        <f t="shared" si="7"/>
        <v>0</v>
      </c>
    </row>
    <row r="34">
      <c r="A34" s="19" t="s">
        <v>85</v>
      </c>
      <c r="B34" s="19">
        <v>1.0</v>
      </c>
      <c r="C34" s="19"/>
      <c r="D34" s="104"/>
      <c r="E34" s="104"/>
      <c r="F34" s="104"/>
      <c r="G34" s="73">
        <f t="shared" si="1"/>
        <v>0</v>
      </c>
      <c r="H34" s="19"/>
      <c r="I34" s="104"/>
      <c r="J34" s="104"/>
      <c r="K34" s="104"/>
      <c r="L34" s="73">
        <f t="shared" si="2"/>
        <v>0</v>
      </c>
      <c r="M34" s="19"/>
      <c r="N34" s="104"/>
      <c r="O34" s="104"/>
      <c r="P34" s="104"/>
      <c r="Q34" s="73">
        <f t="shared" si="3"/>
        <v>0</v>
      </c>
      <c r="R34" s="19"/>
      <c r="S34" s="104"/>
      <c r="T34" s="104"/>
      <c r="U34" s="104"/>
      <c r="V34" s="73">
        <f t="shared" si="4"/>
        <v>0</v>
      </c>
      <c r="W34" s="19"/>
      <c r="X34" s="104"/>
      <c r="Y34" s="104"/>
      <c r="Z34" s="104"/>
      <c r="AA34" s="73">
        <f t="shared" si="5"/>
        <v>0</v>
      </c>
      <c r="AB34" s="105"/>
      <c r="AC34" s="106"/>
      <c r="AD34" s="106"/>
      <c r="AE34" s="104"/>
      <c r="AF34" s="73">
        <f t="shared" si="6"/>
        <v>0</v>
      </c>
      <c r="AG34" s="19"/>
      <c r="AH34" s="104"/>
      <c r="AI34" s="104"/>
      <c r="AJ34" s="107"/>
      <c r="AK34" s="73">
        <f t="shared" si="7"/>
        <v>0</v>
      </c>
    </row>
    <row r="35">
      <c r="A35" s="19" t="s">
        <v>85</v>
      </c>
      <c r="B35" s="19">
        <v>2.0</v>
      </c>
      <c r="C35" s="19"/>
      <c r="D35" s="104"/>
      <c r="E35" s="104"/>
      <c r="F35" s="104"/>
      <c r="G35" s="73">
        <f t="shared" si="1"/>
        <v>0</v>
      </c>
      <c r="H35" s="19"/>
      <c r="I35" s="104"/>
      <c r="J35" s="104"/>
      <c r="K35" s="104"/>
      <c r="L35" s="73">
        <f t="shared" si="2"/>
        <v>0</v>
      </c>
      <c r="M35" s="19"/>
      <c r="N35" s="104"/>
      <c r="O35" s="104"/>
      <c r="P35" s="104"/>
      <c r="Q35" s="73">
        <f t="shared" si="3"/>
        <v>0</v>
      </c>
      <c r="R35" s="19"/>
      <c r="S35" s="104"/>
      <c r="T35" s="104"/>
      <c r="U35" s="104"/>
      <c r="V35" s="73">
        <f t="shared" si="4"/>
        <v>0</v>
      </c>
      <c r="W35" s="19"/>
      <c r="X35" s="104"/>
      <c r="Y35" s="104"/>
      <c r="Z35" s="104"/>
      <c r="AA35" s="73">
        <f t="shared" si="5"/>
        <v>0</v>
      </c>
      <c r="AB35" s="105"/>
      <c r="AC35" s="106"/>
      <c r="AD35" s="106"/>
      <c r="AE35" s="104"/>
      <c r="AF35" s="73">
        <f t="shared" si="6"/>
        <v>0</v>
      </c>
      <c r="AG35" s="19"/>
      <c r="AH35" s="104"/>
      <c r="AI35" s="104"/>
      <c r="AJ35" s="107"/>
      <c r="AK35" s="73">
        <f t="shared" si="7"/>
        <v>0</v>
      </c>
    </row>
    <row r="36">
      <c r="A36" s="19" t="s">
        <v>85</v>
      </c>
      <c r="B36" s="19">
        <v>3.0</v>
      </c>
      <c r="C36" s="19"/>
      <c r="D36" s="104"/>
      <c r="E36" s="104"/>
      <c r="F36" s="104"/>
      <c r="G36" s="73">
        <f t="shared" si="1"/>
        <v>0</v>
      </c>
      <c r="H36" s="19"/>
      <c r="I36" s="104"/>
      <c r="J36" s="104"/>
      <c r="K36" s="104"/>
      <c r="L36" s="73">
        <f t="shared" si="2"/>
        <v>0</v>
      </c>
      <c r="M36" s="19"/>
      <c r="N36" s="104"/>
      <c r="O36" s="104"/>
      <c r="P36" s="104"/>
      <c r="Q36" s="73">
        <f t="shared" si="3"/>
        <v>0</v>
      </c>
      <c r="R36" s="19"/>
      <c r="S36" s="104"/>
      <c r="T36" s="104"/>
      <c r="U36" s="104"/>
      <c r="V36" s="73">
        <f t="shared" si="4"/>
        <v>0</v>
      </c>
      <c r="W36" s="19"/>
      <c r="X36" s="104"/>
      <c r="Y36" s="104"/>
      <c r="Z36" s="104"/>
      <c r="AA36" s="73">
        <f t="shared" si="5"/>
        <v>0</v>
      </c>
      <c r="AB36" s="105"/>
      <c r="AC36" s="106"/>
      <c r="AD36" s="106"/>
      <c r="AE36" s="104"/>
      <c r="AF36" s="73">
        <f t="shared" si="6"/>
        <v>0</v>
      </c>
      <c r="AG36" s="19"/>
      <c r="AH36" s="104"/>
      <c r="AI36" s="104"/>
      <c r="AJ36" s="107"/>
      <c r="AK36" s="73">
        <f t="shared" si="7"/>
        <v>0</v>
      </c>
    </row>
    <row r="37">
      <c r="A37" s="19" t="s">
        <v>85</v>
      </c>
      <c r="B37" s="19">
        <v>4.0</v>
      </c>
      <c r="C37" s="105"/>
      <c r="D37" s="106"/>
      <c r="E37" s="106"/>
      <c r="F37" s="104"/>
      <c r="G37" s="73">
        <f t="shared" si="1"/>
        <v>0</v>
      </c>
      <c r="H37" s="105"/>
      <c r="I37" s="106"/>
      <c r="J37" s="106"/>
      <c r="K37" s="104"/>
      <c r="L37" s="73">
        <f t="shared" si="2"/>
        <v>0</v>
      </c>
      <c r="M37" s="105"/>
      <c r="N37" s="106"/>
      <c r="O37" s="106"/>
      <c r="P37" s="104"/>
      <c r="Q37" s="73">
        <f t="shared" si="3"/>
        <v>0</v>
      </c>
      <c r="R37" s="105"/>
      <c r="S37" s="106"/>
      <c r="T37" s="106"/>
      <c r="U37" s="104"/>
      <c r="V37" s="73">
        <f t="shared" si="4"/>
        <v>0</v>
      </c>
      <c r="W37" s="105"/>
      <c r="X37" s="106"/>
      <c r="Y37" s="106"/>
      <c r="Z37" s="104"/>
      <c r="AA37" s="73">
        <f t="shared" si="5"/>
        <v>0</v>
      </c>
      <c r="AB37" s="105"/>
      <c r="AC37" s="106"/>
      <c r="AD37" s="106"/>
      <c r="AE37" s="104"/>
      <c r="AF37" s="73">
        <f t="shared" si="6"/>
        <v>0</v>
      </c>
      <c r="AG37" s="19"/>
      <c r="AH37" s="104"/>
      <c r="AI37" s="104"/>
      <c r="AJ37" s="107"/>
      <c r="AK37" s="73">
        <f t="shared" si="7"/>
        <v>0</v>
      </c>
    </row>
    <row r="38">
      <c r="A38" s="19" t="s">
        <v>85</v>
      </c>
      <c r="B38" s="19">
        <v>5.0</v>
      </c>
      <c r="C38" s="19"/>
      <c r="D38" s="104"/>
      <c r="E38" s="104"/>
      <c r="F38" s="19"/>
      <c r="G38" s="73">
        <f t="shared" si="1"/>
        <v>0</v>
      </c>
      <c r="H38" s="19"/>
      <c r="I38" s="104"/>
      <c r="J38" s="104"/>
      <c r="K38" s="19"/>
      <c r="L38" s="73">
        <f t="shared" si="2"/>
        <v>0</v>
      </c>
      <c r="M38" s="19"/>
      <c r="N38" s="104"/>
      <c r="O38" s="104"/>
      <c r="P38" s="19"/>
      <c r="Q38" s="73">
        <f t="shared" si="3"/>
        <v>0</v>
      </c>
      <c r="R38" s="19"/>
      <c r="S38" s="104"/>
      <c r="T38" s="104"/>
      <c r="U38" s="19"/>
      <c r="V38" s="73">
        <f t="shared" si="4"/>
        <v>0</v>
      </c>
      <c r="W38" s="19"/>
      <c r="X38" s="104"/>
      <c r="Y38" s="104"/>
      <c r="Z38" s="19"/>
      <c r="AA38" s="73">
        <f t="shared" si="5"/>
        <v>0</v>
      </c>
      <c r="AB38" s="19"/>
      <c r="AC38" s="104"/>
      <c r="AD38" s="104"/>
      <c r="AE38" s="104"/>
      <c r="AF38" s="73">
        <f t="shared" si="6"/>
        <v>0</v>
      </c>
      <c r="AG38" s="19"/>
      <c r="AH38" s="104"/>
      <c r="AI38" s="104"/>
      <c r="AJ38" s="104"/>
      <c r="AK38" s="73">
        <f t="shared" si="7"/>
        <v>0</v>
      </c>
    </row>
  </sheetData>
  <mergeCells count="51">
    <mergeCell ref="C1:G1"/>
    <mergeCell ref="H1:L1"/>
    <mergeCell ref="M1:Q1"/>
    <mergeCell ref="R1:V1"/>
    <mergeCell ref="W1:AA1"/>
    <mergeCell ref="AB1:AF1"/>
    <mergeCell ref="AG1:AK1"/>
    <mergeCell ref="AB3:AE3"/>
    <mergeCell ref="AG3:AJ3"/>
    <mergeCell ref="A1:B1"/>
    <mergeCell ref="A2:B2"/>
    <mergeCell ref="C3:F3"/>
    <mergeCell ref="H3:K3"/>
    <mergeCell ref="M3:P3"/>
    <mergeCell ref="R3:U3"/>
    <mergeCell ref="W3:Z3"/>
    <mergeCell ref="C9:F9"/>
    <mergeCell ref="H9:K9"/>
    <mergeCell ref="M9:P9"/>
    <mergeCell ref="R9:U9"/>
    <mergeCell ref="W9:Z9"/>
    <mergeCell ref="AB9:AE9"/>
    <mergeCell ref="AG9:AJ9"/>
    <mergeCell ref="C15:F15"/>
    <mergeCell ref="H15:K15"/>
    <mergeCell ref="M15:P15"/>
    <mergeCell ref="R15:U15"/>
    <mergeCell ref="W15:Z15"/>
    <mergeCell ref="AB15:AE15"/>
    <mergeCell ref="AG15:AJ15"/>
    <mergeCell ref="C21:F21"/>
    <mergeCell ref="H21:K21"/>
    <mergeCell ref="M21:P21"/>
    <mergeCell ref="R21:U21"/>
    <mergeCell ref="W21:Z21"/>
    <mergeCell ref="AB21:AE21"/>
    <mergeCell ref="AG21:AJ21"/>
    <mergeCell ref="C33:F33"/>
    <mergeCell ref="H33:K33"/>
    <mergeCell ref="M33:P33"/>
    <mergeCell ref="R33:U33"/>
    <mergeCell ref="W33:Z33"/>
    <mergeCell ref="AB33:AE33"/>
    <mergeCell ref="AG33:AJ33"/>
    <mergeCell ref="C27:F27"/>
    <mergeCell ref="H27:K27"/>
    <mergeCell ref="M27:P27"/>
    <mergeCell ref="R27:U27"/>
    <mergeCell ref="W27:Z27"/>
    <mergeCell ref="AB27:AE27"/>
    <mergeCell ref="AG27:AJ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4.13"/>
    <col customWidth="1" min="3" max="3" width="7.13"/>
    <col customWidth="1" min="4" max="4" width="7.0"/>
    <col customWidth="1" min="5" max="5" width="6.25"/>
    <col customWidth="1" min="6" max="7" width="9.38"/>
    <col customWidth="1" min="8" max="8" width="7.0"/>
    <col customWidth="1" min="9" max="9" width="6.38"/>
    <col customWidth="1" hidden="1" min="10" max="10" width="17.5"/>
    <col customWidth="1" hidden="1" min="11" max="11" width="4.38"/>
    <col customWidth="1" min="12" max="12" width="4.75"/>
    <col customWidth="1" min="13" max="13" width="8.0"/>
    <col customWidth="1" min="14" max="14" width="10.38"/>
    <col customWidth="1" min="15" max="15" width="7.75"/>
    <col customWidth="1" min="16" max="16" width="10.38"/>
    <col customWidth="1" min="17" max="17" width="7.63"/>
    <col customWidth="1" min="18" max="18" width="14.38"/>
    <col customWidth="1" min="19" max="19" width="7.63"/>
    <col customWidth="1" min="20" max="20" width="6.25"/>
    <col hidden="1" min="21" max="22" width="12.63"/>
  </cols>
  <sheetData>
    <row r="1">
      <c r="A1" s="108" t="s">
        <v>86</v>
      </c>
      <c r="B1" s="108" t="s">
        <v>74</v>
      </c>
      <c r="C1" s="109" t="s">
        <v>0</v>
      </c>
      <c r="D1" s="110" t="s">
        <v>4</v>
      </c>
      <c r="E1" s="108" t="s">
        <v>87</v>
      </c>
      <c r="F1" s="108" t="s">
        <v>88</v>
      </c>
      <c r="G1" s="108" t="s">
        <v>89</v>
      </c>
      <c r="H1" s="108" t="s">
        <v>90</v>
      </c>
      <c r="I1" s="108" t="s">
        <v>91</v>
      </c>
      <c r="J1" s="108" t="s">
        <v>13</v>
      </c>
      <c r="K1" s="111"/>
      <c r="L1" s="108" t="s">
        <v>74</v>
      </c>
      <c r="M1" s="108" t="s">
        <v>0</v>
      </c>
      <c r="N1" s="108" t="s">
        <v>92</v>
      </c>
      <c r="O1" s="108" t="s">
        <v>93</v>
      </c>
      <c r="P1" s="108" t="s">
        <v>94</v>
      </c>
      <c r="Q1" s="108" t="s">
        <v>95</v>
      </c>
      <c r="R1" s="112" t="s">
        <v>96</v>
      </c>
      <c r="S1" s="113" t="s">
        <v>97</v>
      </c>
      <c r="T1" s="19" t="s">
        <v>13</v>
      </c>
      <c r="U1" s="114"/>
      <c r="V1" s="114"/>
    </row>
    <row r="2">
      <c r="A2" s="115" t="s">
        <v>78</v>
      </c>
      <c r="B2" s="19">
        <v>1.0</v>
      </c>
      <c r="C2" s="116" t="s">
        <v>79</v>
      </c>
      <c r="D2" s="117">
        <f>sumifs('대치메가 9월 급여'!$G:$G, '대치메가 9월 급여'!$C:$C, C2, '대치메가 9월 급여'!$A:$A, A2) + sumifs('대치메가 9월 급여'!$L:$L,'대치메가 9월 급여'!$H:$H,C2, '대치메가 9월 급여'!$A:$A, A2) + sumifs('대치메가 9월 급여'!$Q:$Q,'대치메가 9월 급여'!$M:$M,C2, '대치메가 9월 급여'!$A:$A, A2) + sumifs('대치메가 9월 급여'!$V:$V,'대치메가 9월 급여'!$R:$R,C2, '대치메가 9월 급여'!$A:$A, A2) + sumifs('대치메가 9월 급여'!$AA:$AA,'대치메가 9월 급여'!$W:$W,C2, '대치메가 9월 급여'!$A:$A, A2) + sumifs('대치메가 9월 급여'!$AF:$AF,'대치메가 9월 급여'!$AB:$AB,C2, '대치메가 9월 급여'!$A:$A, A2) + sumifs('대치메가 9월 급여'!$AK:$AK,'대치메가 9월 급여'!$AG:$AG,C2, '대치메가 9월 급여'!$A:$A, A2)</f>
        <v>42.5</v>
      </c>
      <c r="E2" s="118" t="str">
        <f t="shared" ref="E2:E5" si="1">if(D2 &gt;= 15, "O", "X")</f>
        <v>O</v>
      </c>
      <c r="F2" s="119">
        <v>10030.0</v>
      </c>
      <c r="G2" s="120">
        <f t="shared" ref="G2:G91" si="2">D2*F2</f>
        <v>426275</v>
      </c>
      <c r="H2" s="120">
        <f t="shared" ref="H2:H3" si="3">if(E2="O", D2/40*8*F2, 0)</f>
        <v>85255</v>
      </c>
      <c r="I2" s="120">
        <f t="shared" ref="I2:I91" si="4">sum(G2:H2)</f>
        <v>511530</v>
      </c>
      <c r="J2" s="114"/>
      <c r="K2" s="111"/>
      <c r="L2" s="19">
        <v>1.0</v>
      </c>
      <c r="M2" s="116" t="s">
        <v>79</v>
      </c>
      <c r="N2" s="121">
        <f t="shared" ref="N2:N16" si="5">sumif($C:$C, M2, $D:$D)</f>
        <v>188</v>
      </c>
      <c r="O2" s="122">
        <f t="shared" ref="O2:O16" si="6">sumif($C:$C, M2, $G:$G)</f>
        <v>1885640</v>
      </c>
      <c r="P2" s="122">
        <f t="shared" ref="P2:P16" si="7">sumif($C:$C, M2, $H:$H)</f>
        <v>377128</v>
      </c>
      <c r="Q2" s="122">
        <f t="shared" ref="Q2:Q16" si="8">sum(O2:P2)</f>
        <v>2262768</v>
      </c>
      <c r="R2" s="123">
        <v>0.0</v>
      </c>
      <c r="S2" s="124">
        <f t="shared" ref="S2:S16" si="9">Q2-R2</f>
        <v>2262768</v>
      </c>
      <c r="T2" s="125"/>
      <c r="U2" s="126"/>
      <c r="V2" s="126"/>
    </row>
    <row r="3">
      <c r="A3" s="115" t="s">
        <v>78</v>
      </c>
      <c r="B3" s="19">
        <v>2.0</v>
      </c>
      <c r="C3" s="116" t="s">
        <v>16</v>
      </c>
      <c r="D3" s="117">
        <f>sumifs('대치메가 9월 급여'!$G:$G, '대치메가 9월 급여'!$C:$C, C3, '대치메가 9월 급여'!$A:$A, A3) + sumifs('대치메가 9월 급여'!$L:$L,'대치메가 9월 급여'!$H:$H,C3, '대치메가 9월 급여'!$A:$A, A3) + sumifs('대치메가 9월 급여'!$Q:$Q,'대치메가 9월 급여'!$M:$M,C3, '대치메가 9월 급여'!$A:$A, A3) + sumifs('대치메가 9월 급여'!$V:$V,'대치메가 9월 급여'!$R:$R,C3, '대치메가 9월 급여'!$A:$A, A3) + sumifs('대치메가 9월 급여'!$AA:$AA,'대치메가 9월 급여'!$W:$W,C3, '대치메가 9월 급여'!$A:$A, A3) + sumifs('대치메가 9월 급여'!$AF:$AF,'대치메가 9월 급여'!$AB:$AB,C3, '대치메가 9월 급여'!$A:$A, A3) + sumifs('대치메가 9월 급여'!$AK:$AK,'대치메가 9월 급여'!$AG:$AG,C3, '대치메가 9월 급여'!$A:$A, A3)</f>
        <v>7</v>
      </c>
      <c r="E3" s="118" t="str">
        <f t="shared" si="1"/>
        <v>X</v>
      </c>
      <c r="F3" s="119">
        <v>10030.0</v>
      </c>
      <c r="G3" s="120">
        <f t="shared" si="2"/>
        <v>70210</v>
      </c>
      <c r="H3" s="120">
        <f t="shared" si="3"/>
        <v>0</v>
      </c>
      <c r="I3" s="120">
        <f t="shared" si="4"/>
        <v>70210</v>
      </c>
      <c r="J3" s="127"/>
      <c r="K3" s="111"/>
      <c r="L3" s="19">
        <v>2.0</v>
      </c>
      <c r="M3" s="116" t="s">
        <v>16</v>
      </c>
      <c r="N3" s="121">
        <f t="shared" si="5"/>
        <v>31.5</v>
      </c>
      <c r="O3" s="122">
        <f t="shared" si="6"/>
        <v>315945</v>
      </c>
      <c r="P3" s="122">
        <f t="shared" si="7"/>
        <v>0</v>
      </c>
      <c r="Q3" s="122">
        <f t="shared" si="8"/>
        <v>315945</v>
      </c>
      <c r="R3" s="123">
        <v>0.0</v>
      </c>
      <c r="S3" s="124">
        <f t="shared" si="9"/>
        <v>315945</v>
      </c>
      <c r="T3" s="125"/>
      <c r="U3" s="126"/>
      <c r="V3" s="126"/>
    </row>
    <row r="4">
      <c r="A4" s="115" t="s">
        <v>78</v>
      </c>
      <c r="B4" s="19">
        <v>3.0</v>
      </c>
      <c r="C4" s="116" t="s">
        <v>20</v>
      </c>
      <c r="D4" s="117">
        <f>sumifs('대치메가 9월 급여'!$G:$G, '대치메가 9월 급여'!$C:$C, C4, '대치메가 9월 급여'!$A:$A, A4) + sumifs('대치메가 9월 급여'!$L:$L,'대치메가 9월 급여'!$H:$H,C4, '대치메가 9월 급여'!$A:$A, A4) + sumifs('대치메가 9월 급여'!$Q:$Q,'대치메가 9월 급여'!$M:$M,C4, '대치메가 9월 급여'!$A:$A, A4) + sumifs('대치메가 9월 급여'!$V:$V,'대치메가 9월 급여'!$R:$R,C4, '대치메가 9월 급여'!$A:$A, A4) + sumifs('대치메가 9월 급여'!$AA:$AA,'대치메가 9월 급여'!$W:$W,C4, '대치메가 9월 급여'!$A:$A, A4) + sumifs('대치메가 9월 급여'!$AF:$AF,'대치메가 9월 급여'!$AB:$AB,C4, '대치메가 9월 급여'!$A:$A, A4) + sumifs('대치메가 9월 급여'!$AK:$AK,'대치메가 9월 급여'!$AG:$AG,C4, '대치메가 9월 급여'!$A:$A, A4)</f>
        <v>42</v>
      </c>
      <c r="E4" s="118" t="str">
        <f t="shared" si="1"/>
        <v>O</v>
      </c>
      <c r="F4" s="119">
        <v>11030.0</v>
      </c>
      <c r="G4" s="120">
        <f t="shared" si="2"/>
        <v>463260</v>
      </c>
      <c r="H4" s="120">
        <f>if(E4="O", 40/40*8*F4, 0)</f>
        <v>88240</v>
      </c>
      <c r="I4" s="120">
        <f t="shared" si="4"/>
        <v>551500</v>
      </c>
      <c r="J4" s="114"/>
      <c r="K4" s="111"/>
      <c r="L4" s="19">
        <v>3.0</v>
      </c>
      <c r="M4" s="116" t="s">
        <v>20</v>
      </c>
      <c r="N4" s="121">
        <f t="shared" si="5"/>
        <v>185</v>
      </c>
      <c r="O4" s="122">
        <f t="shared" si="6"/>
        <v>2040550</v>
      </c>
      <c r="P4" s="122">
        <f t="shared" si="7"/>
        <v>352960</v>
      </c>
      <c r="Q4" s="122">
        <f t="shared" si="8"/>
        <v>2393510</v>
      </c>
      <c r="R4" s="124">
        <f t="shared" ref="R4:R5" si="10">trunc(Q4*3%,-1)+trunc((Q4*3%)/10, -1)</f>
        <v>78980</v>
      </c>
      <c r="S4" s="124">
        <f t="shared" si="9"/>
        <v>2314530</v>
      </c>
      <c r="T4" s="19"/>
      <c r="U4" s="126"/>
      <c r="V4" s="126"/>
    </row>
    <row r="5">
      <c r="A5" s="115" t="s">
        <v>78</v>
      </c>
      <c r="B5" s="19">
        <v>4.0</v>
      </c>
      <c r="C5" s="116" t="s">
        <v>25</v>
      </c>
      <c r="D5" s="117">
        <f>sumifs('대치메가 9월 급여'!$G:$G, '대치메가 9월 급여'!$C:$C, C5, '대치메가 9월 급여'!$A:$A, A5) + sumifs('대치메가 9월 급여'!$L:$L,'대치메가 9월 급여'!$H:$H,C5, '대치메가 9월 급여'!$A:$A, A5) + sumifs('대치메가 9월 급여'!$Q:$Q,'대치메가 9월 급여'!$M:$M,C5, '대치메가 9월 급여'!$A:$A, A5) + sumifs('대치메가 9월 급여'!$V:$V,'대치메가 9월 급여'!$R:$R,C5, '대치메가 9월 급여'!$A:$A, A5) + sumifs('대치메가 9월 급여'!$AA:$AA,'대치메가 9월 급여'!$W:$W,C5, '대치메가 9월 급여'!$A:$A, A5) + sumifs('대치메가 9월 급여'!$AF:$AF,'대치메가 9월 급여'!$AB:$AB,C5, '대치메가 9월 급여'!$A:$A, A5) + sumifs('대치메가 9월 급여'!$AK:$AK,'대치메가 9월 급여'!$AG:$AG,C5, '대치메가 9월 급여'!$A:$A, A5)</f>
        <v>20.5</v>
      </c>
      <c r="E5" s="118" t="str">
        <f t="shared" si="1"/>
        <v>O</v>
      </c>
      <c r="F5" s="119">
        <v>10030.0</v>
      </c>
      <c r="G5" s="120">
        <f t="shared" si="2"/>
        <v>205615</v>
      </c>
      <c r="H5" s="120">
        <f>if(E5="O", 21/40*8*F5, 0)</f>
        <v>42126</v>
      </c>
      <c r="I5" s="120">
        <f t="shared" si="4"/>
        <v>247741</v>
      </c>
      <c r="J5" s="114"/>
      <c r="K5" s="111"/>
      <c r="L5" s="19">
        <v>4.0</v>
      </c>
      <c r="M5" s="116" t="s">
        <v>25</v>
      </c>
      <c r="N5" s="121">
        <f t="shared" si="5"/>
        <v>87</v>
      </c>
      <c r="O5" s="122">
        <f t="shared" si="6"/>
        <v>872610</v>
      </c>
      <c r="P5" s="122">
        <f t="shared" si="7"/>
        <v>168504</v>
      </c>
      <c r="Q5" s="122">
        <f t="shared" si="8"/>
        <v>1041114</v>
      </c>
      <c r="R5" s="124">
        <f t="shared" si="10"/>
        <v>34350</v>
      </c>
      <c r="S5" s="124">
        <f t="shared" si="9"/>
        <v>1006764</v>
      </c>
      <c r="T5" s="19"/>
      <c r="U5" s="128" t="s">
        <v>98</v>
      </c>
      <c r="V5" s="129" t="s">
        <v>24</v>
      </c>
    </row>
    <row r="6">
      <c r="A6" s="115" t="s">
        <v>78</v>
      </c>
      <c r="B6" s="19">
        <v>5.0</v>
      </c>
      <c r="C6" s="130" t="s">
        <v>30</v>
      </c>
      <c r="D6" s="117">
        <f>sumifs('대치메가 9월 급여'!$G:$G, '대치메가 9월 급여'!$C:$C, C6, '대치메가 9월 급여'!$A:$A, A6) + sumifs('대치메가 9월 급여'!$L:$L,'대치메가 9월 급여'!$H:$H,C6, '대치메가 9월 급여'!$A:$A, A6) + sumifs('대치메가 9월 급여'!$Q:$Q,'대치메가 9월 급여'!$M:$M,C6, '대치메가 9월 급여'!$A:$A, A6) + sumifs('대치메가 9월 급여'!$V:$V,'대치메가 9월 급여'!$R:$R,C6, '대치메가 9월 급여'!$A:$A, A6) + sumifs('대치메가 9월 급여'!$AA:$AA,'대치메가 9월 급여'!$W:$W,C6, '대치메가 9월 급여'!$A:$A, A6) + sumifs('대치메가 9월 급여'!$AF:$AF,'대치메가 9월 급여'!$AB:$AB,C6, '대치메가 9월 급여'!$A:$A, A6) + sumifs('대치메가 9월 급여'!$AK:$AK,'대치메가 9월 급여'!$AG:$AG,C6, '대치메가 9월 급여'!$A:$A, A6)</f>
        <v>12.5</v>
      </c>
      <c r="E6" s="131" t="s">
        <v>99</v>
      </c>
      <c r="F6" s="119">
        <v>11030.0</v>
      </c>
      <c r="G6" s="120">
        <f t="shared" si="2"/>
        <v>137875</v>
      </c>
      <c r="H6" s="120">
        <f t="shared" ref="H6:H8" si="11">if(E6="O", D6/40*8*F6, 0)</f>
        <v>0</v>
      </c>
      <c r="I6" s="120">
        <f t="shared" si="4"/>
        <v>137875</v>
      </c>
      <c r="J6" s="114"/>
      <c r="K6" s="111"/>
      <c r="L6" s="19">
        <v>5.0</v>
      </c>
      <c r="M6" s="130" t="s">
        <v>30</v>
      </c>
      <c r="N6" s="121">
        <f t="shared" si="5"/>
        <v>63</v>
      </c>
      <c r="O6" s="122">
        <f t="shared" si="6"/>
        <v>694890</v>
      </c>
      <c r="P6" s="122">
        <f t="shared" si="7"/>
        <v>0</v>
      </c>
      <c r="Q6" s="122">
        <f t="shared" si="8"/>
        <v>694890</v>
      </c>
      <c r="R6" s="123">
        <v>0.0</v>
      </c>
      <c r="S6" s="124">
        <f t="shared" si="9"/>
        <v>694890</v>
      </c>
      <c r="T6" s="19"/>
      <c r="U6" s="26" t="s">
        <v>25</v>
      </c>
      <c r="V6" s="132" t="s">
        <v>24</v>
      </c>
    </row>
    <row r="7">
      <c r="A7" s="115" t="s">
        <v>78</v>
      </c>
      <c r="B7" s="19">
        <v>6.0</v>
      </c>
      <c r="C7" s="116" t="s">
        <v>36</v>
      </c>
      <c r="D7" s="117">
        <f>sumifs('대치메가 9월 급여'!$G:$G, '대치메가 9월 급여'!$C:$C, C7, '대치메가 9월 급여'!$A:$A, A7) + sumifs('대치메가 9월 급여'!$L:$L,'대치메가 9월 급여'!$H:$H,C7, '대치메가 9월 급여'!$A:$A, A7) + sumifs('대치메가 9월 급여'!$Q:$Q,'대치메가 9월 급여'!$M:$M,C7, '대치메가 9월 급여'!$A:$A, A7) + sumifs('대치메가 9월 급여'!$V:$V,'대치메가 9월 급여'!$R:$R,C7, '대치메가 9월 급여'!$A:$A, A7) + sumifs('대치메가 9월 급여'!$AA:$AA,'대치메가 9월 급여'!$W:$W,C7, '대치메가 9월 급여'!$A:$A, A7) + sumifs('대치메가 9월 급여'!$AF:$AF,'대치메가 9월 급여'!$AB:$AB,C7, '대치메가 9월 급여'!$A:$A, A7) + sumifs('대치메가 9월 급여'!$AK:$AK,'대치메가 9월 급여'!$AG:$AG,C7, '대치메가 9월 급여'!$A:$A, A7)</f>
        <v>9</v>
      </c>
      <c r="E7" s="118" t="str">
        <f t="shared" ref="E7:E20" si="12">if(D7 &gt;= 15, "O", "X")</f>
        <v>X</v>
      </c>
      <c r="F7" s="119">
        <v>11030.0</v>
      </c>
      <c r="G7" s="120">
        <f t="shared" si="2"/>
        <v>99270</v>
      </c>
      <c r="H7" s="120">
        <f t="shared" si="11"/>
        <v>0</v>
      </c>
      <c r="I7" s="120">
        <f t="shared" si="4"/>
        <v>99270</v>
      </c>
      <c r="J7" s="133"/>
      <c r="K7" s="111"/>
      <c r="L7" s="19">
        <v>6.0</v>
      </c>
      <c r="M7" s="116" t="s">
        <v>36</v>
      </c>
      <c r="N7" s="134">
        <f t="shared" si="5"/>
        <v>38.5</v>
      </c>
      <c r="O7" s="122">
        <f t="shared" si="6"/>
        <v>424655</v>
      </c>
      <c r="P7" s="122">
        <f t="shared" si="7"/>
        <v>0</v>
      </c>
      <c r="Q7" s="122">
        <f t="shared" si="8"/>
        <v>424655</v>
      </c>
      <c r="R7" s="123">
        <v>0.0</v>
      </c>
      <c r="S7" s="124">
        <f t="shared" si="9"/>
        <v>424655</v>
      </c>
      <c r="T7" s="125"/>
      <c r="U7" s="26" t="s">
        <v>30</v>
      </c>
      <c r="V7" s="24" t="s">
        <v>35</v>
      </c>
    </row>
    <row r="8">
      <c r="A8" s="115" t="s">
        <v>78</v>
      </c>
      <c r="B8" s="19">
        <v>7.0</v>
      </c>
      <c r="C8" s="116" t="s">
        <v>41</v>
      </c>
      <c r="D8" s="117">
        <f>sumifs('대치메가 9월 급여'!$G:$G, '대치메가 9월 급여'!$C:$C, C8, '대치메가 9월 급여'!$A:$A, A8) + sumifs('대치메가 9월 급여'!$L:$L,'대치메가 9월 급여'!$H:$H,C8, '대치메가 9월 급여'!$A:$A, A8) + sumifs('대치메가 9월 급여'!$Q:$Q,'대치메가 9월 급여'!$M:$M,C8, '대치메가 9월 급여'!$A:$A, A8) + sumifs('대치메가 9월 급여'!$V:$V,'대치메가 9월 급여'!$R:$R,C8, '대치메가 9월 급여'!$A:$A, A8) + sumifs('대치메가 9월 급여'!$AA:$AA,'대치메가 9월 급여'!$W:$W,C8, '대치메가 9월 급여'!$A:$A, A8) + sumifs('대치메가 9월 급여'!$AF:$AF,'대치메가 9월 급여'!$AB:$AB,C8, '대치메가 9월 급여'!$A:$A, A8) + sumifs('대치메가 9월 급여'!$AK:$AK,'대치메가 9월 급여'!$AG:$AG,C8, '대치메가 9월 급여'!$A:$A, A8)</f>
        <v>19</v>
      </c>
      <c r="E8" s="118" t="str">
        <f t="shared" si="12"/>
        <v>O</v>
      </c>
      <c r="F8" s="119">
        <v>10030.0</v>
      </c>
      <c r="G8" s="120">
        <f t="shared" si="2"/>
        <v>190570</v>
      </c>
      <c r="H8" s="120">
        <f t="shared" si="11"/>
        <v>38114</v>
      </c>
      <c r="I8" s="120">
        <f t="shared" si="4"/>
        <v>228684</v>
      </c>
      <c r="J8" s="114"/>
      <c r="K8" s="111"/>
      <c r="L8" s="19">
        <v>7.0</v>
      </c>
      <c r="M8" s="116" t="s">
        <v>41</v>
      </c>
      <c r="N8" s="121">
        <f t="shared" si="5"/>
        <v>75.5</v>
      </c>
      <c r="O8" s="122">
        <f t="shared" si="6"/>
        <v>757265</v>
      </c>
      <c r="P8" s="122">
        <f t="shared" si="7"/>
        <v>114342</v>
      </c>
      <c r="Q8" s="122">
        <f t="shared" si="8"/>
        <v>871607</v>
      </c>
      <c r="R8" s="124">
        <f t="shared" ref="R8:R9" si="13">trunc(Q8*3%,-1)+trunc((Q8*3%)/10, -1)</f>
        <v>28750</v>
      </c>
      <c r="S8" s="124">
        <f t="shared" si="9"/>
        <v>842857</v>
      </c>
      <c r="T8" s="125"/>
      <c r="U8" s="135" t="s">
        <v>41</v>
      </c>
      <c r="V8" s="24" t="s">
        <v>35</v>
      </c>
    </row>
    <row r="9">
      <c r="A9" s="115" t="s">
        <v>78</v>
      </c>
      <c r="B9" s="19">
        <v>8.0</v>
      </c>
      <c r="C9" s="116" t="s">
        <v>45</v>
      </c>
      <c r="D9" s="136">
        <f>sumifs('대치메가 9월 급여'!$G:$G, '대치메가 9월 급여'!$C:$C, C9, '대치메가 9월 급여'!$A:$A, A9) + sumifs('대치메가 9월 급여'!$L:$L,'대치메가 9월 급여'!$H:$H,C9, '대치메가 9월 급여'!$A:$A, A9) + sumifs('대치메가 9월 급여'!$Q:$Q,'대치메가 9월 급여'!$M:$M,C9, '대치메가 9월 급여'!$A:$A, A9) + sumifs('대치메가 9월 급여'!$V:$V,'대치메가 9월 급여'!$R:$R,C9, '대치메가 9월 급여'!$A:$A, A9) + sumifs('대치메가 9월 급여'!$AA:$AA,'대치메가 9월 급여'!$W:$W,C9, '대치메가 9월 급여'!$A:$A, A9) + sumifs('대치메가 9월 급여'!$AF:$AF,'대치메가 9월 급여'!$AB:$AB,C9, '대치메가 9월 급여'!$A:$A, A9) + sumifs('대치메가 9월 급여'!$AK:$AK,'대치메가 9월 급여'!$AG:$AG,C9, '대치메가 9월 급여'!$A:$A, A9)</f>
        <v>17.75</v>
      </c>
      <c r="E9" s="118" t="str">
        <f t="shared" si="12"/>
        <v>O</v>
      </c>
      <c r="F9" s="119">
        <v>11030.0</v>
      </c>
      <c r="G9" s="120">
        <f t="shared" si="2"/>
        <v>195782.5</v>
      </c>
      <c r="H9" s="120">
        <f>if(E9="O", 17/40*8*F9, 0)</f>
        <v>37502</v>
      </c>
      <c r="I9" s="120">
        <f t="shared" si="4"/>
        <v>233284.5</v>
      </c>
      <c r="J9" s="127"/>
      <c r="K9" s="111"/>
      <c r="L9" s="19">
        <v>8.0</v>
      </c>
      <c r="M9" s="116" t="s">
        <v>45</v>
      </c>
      <c r="N9" s="121">
        <f t="shared" si="5"/>
        <v>71</v>
      </c>
      <c r="O9" s="122">
        <f t="shared" si="6"/>
        <v>783130</v>
      </c>
      <c r="P9" s="122">
        <f t="shared" si="7"/>
        <v>150008</v>
      </c>
      <c r="Q9" s="122">
        <f t="shared" si="8"/>
        <v>933138</v>
      </c>
      <c r="R9" s="124">
        <f t="shared" si="13"/>
        <v>30780</v>
      </c>
      <c r="S9" s="124">
        <f t="shared" si="9"/>
        <v>902358</v>
      </c>
      <c r="T9" s="19"/>
      <c r="U9" s="19" t="s">
        <v>100</v>
      </c>
      <c r="V9" s="24" t="s">
        <v>35</v>
      </c>
    </row>
    <row r="10">
      <c r="A10" s="115" t="s">
        <v>78</v>
      </c>
      <c r="B10" s="19">
        <v>9.0</v>
      </c>
      <c r="C10" s="116" t="s">
        <v>80</v>
      </c>
      <c r="D10" s="117">
        <f>sumifs('대치메가 9월 급여'!$G:$G, '대치메가 9월 급여'!$C:$C, C10, '대치메가 9월 급여'!$A:$A, A10) + sumifs('대치메가 9월 급여'!$L:$L,'대치메가 9월 급여'!$H:$H,C10, '대치메가 9월 급여'!$A:$A, A10) + sumifs('대치메가 9월 급여'!$Q:$Q,'대치메가 9월 급여'!$M:$M,C10, '대치메가 9월 급여'!$A:$A, A10) + sumifs('대치메가 9월 급여'!$V:$V,'대치메가 9월 급여'!$R:$R,C10, '대치메가 9월 급여'!$A:$A, A10) + sumifs('대치메가 9월 급여'!$AA:$AA,'대치메가 9월 급여'!$W:$W,C10, '대치메가 9월 급여'!$A:$A, A10) + sumifs('대치메가 9월 급여'!$AF:$AF,'대치메가 9월 급여'!$AB:$AB,C10, '대치메가 9월 급여'!$A:$A, A10) + sumifs('대치메가 9월 급여'!$AK:$AK,'대치메가 9월 급여'!$AG:$AG,C10, '대치메가 9월 급여'!$A:$A, A10)</f>
        <v>4.5</v>
      </c>
      <c r="E10" s="118" t="str">
        <f t="shared" si="12"/>
        <v>X</v>
      </c>
      <c r="F10" s="119">
        <v>10030.0</v>
      </c>
      <c r="G10" s="120">
        <f t="shared" si="2"/>
        <v>45135</v>
      </c>
      <c r="H10" s="120">
        <f t="shared" ref="H10:H18" si="14">if(E10="O", D10/40*8*F10, 0)</f>
        <v>0</v>
      </c>
      <c r="I10" s="120">
        <f t="shared" si="4"/>
        <v>45135</v>
      </c>
      <c r="J10" s="114"/>
      <c r="K10" s="111"/>
      <c r="L10" s="39">
        <v>9.0</v>
      </c>
      <c r="M10" s="116" t="s">
        <v>80</v>
      </c>
      <c r="N10" s="137">
        <f t="shared" si="5"/>
        <v>9.5</v>
      </c>
      <c r="O10" s="138">
        <f t="shared" si="6"/>
        <v>95285</v>
      </c>
      <c r="P10" s="138">
        <f t="shared" si="7"/>
        <v>0</v>
      </c>
      <c r="Q10" s="138">
        <f t="shared" si="8"/>
        <v>95285</v>
      </c>
      <c r="R10" s="139">
        <v>0.0</v>
      </c>
      <c r="S10" s="140">
        <f t="shared" si="9"/>
        <v>95285</v>
      </c>
      <c r="T10" s="39" t="s">
        <v>101</v>
      </c>
      <c r="U10" s="135" t="s">
        <v>102</v>
      </c>
      <c r="V10" s="24" t="s">
        <v>35</v>
      </c>
    </row>
    <row r="11">
      <c r="A11" s="115" t="s">
        <v>78</v>
      </c>
      <c r="B11" s="19">
        <v>10.0</v>
      </c>
      <c r="C11" s="116"/>
      <c r="D11" s="117">
        <f>sumifs('대치메가 9월 급여'!$G:$G, '대치메가 9월 급여'!$C:$C, C11, '대치메가 9월 급여'!$A:$A, A11) + sumifs('대치메가 9월 급여'!$L:$L,'대치메가 9월 급여'!$H:$H,C11, '대치메가 9월 급여'!$A:$A, A11) + sumifs('대치메가 9월 급여'!$Q:$Q,'대치메가 9월 급여'!$M:$M,C11, '대치메가 9월 급여'!$A:$A, A11) + sumifs('대치메가 9월 급여'!$V:$V,'대치메가 9월 급여'!$R:$R,C11, '대치메가 9월 급여'!$A:$A, A11) + sumifs('대치메가 9월 급여'!$AA:$AA,'대치메가 9월 급여'!$W:$W,C11, '대치메가 9월 급여'!$A:$A, A11) + sumifs('대치메가 9월 급여'!$AF:$AF,'대치메가 9월 급여'!$AB:$AB,C11, '대치메가 9월 급여'!$A:$A, A11) + sumifs('대치메가 9월 급여'!$AK:$AK,'대치메가 9월 급여'!$AG:$AG,C11, '대치메가 9월 급여'!$A:$A, A11)</f>
        <v>0</v>
      </c>
      <c r="E11" s="118" t="str">
        <f t="shared" si="12"/>
        <v>X</v>
      </c>
      <c r="F11" s="119">
        <v>10030.0</v>
      </c>
      <c r="G11" s="120">
        <f t="shared" si="2"/>
        <v>0</v>
      </c>
      <c r="H11" s="120">
        <f t="shared" si="14"/>
        <v>0</v>
      </c>
      <c r="I11" s="120">
        <f t="shared" si="4"/>
        <v>0</v>
      </c>
      <c r="J11" s="114"/>
      <c r="K11" s="111"/>
      <c r="L11" s="19">
        <v>10.0</v>
      </c>
      <c r="M11" s="116"/>
      <c r="N11" s="121">
        <f t="shared" si="5"/>
        <v>0</v>
      </c>
      <c r="O11" s="122">
        <f t="shared" si="6"/>
        <v>0</v>
      </c>
      <c r="P11" s="122">
        <f t="shared" si="7"/>
        <v>0</v>
      </c>
      <c r="Q11" s="122">
        <f t="shared" si="8"/>
        <v>0</v>
      </c>
      <c r="R11" s="123">
        <v>0.0</v>
      </c>
      <c r="S11" s="124">
        <f t="shared" si="9"/>
        <v>0</v>
      </c>
      <c r="T11" s="19"/>
      <c r="U11" s="141" t="s">
        <v>103</v>
      </c>
      <c r="V11" s="129" t="s">
        <v>24</v>
      </c>
    </row>
    <row r="12">
      <c r="A12" s="115" t="s">
        <v>78</v>
      </c>
      <c r="B12" s="19">
        <v>11.0</v>
      </c>
      <c r="C12" s="30"/>
      <c r="D12" s="117">
        <f>sumifs('대치메가 9월 급여'!$G:$G, '대치메가 9월 급여'!$C:$C, C12, '대치메가 9월 급여'!$A:$A, A12) + sumifs('대치메가 9월 급여'!$L:$L,'대치메가 9월 급여'!$H:$H,C12, '대치메가 9월 급여'!$A:$A, A12) + sumifs('대치메가 9월 급여'!$Q:$Q,'대치메가 9월 급여'!$M:$M,C12, '대치메가 9월 급여'!$A:$A, A12) + sumifs('대치메가 9월 급여'!$V:$V,'대치메가 9월 급여'!$R:$R,C12, '대치메가 9월 급여'!$A:$A, A12) + sumifs('대치메가 9월 급여'!$AA:$AA,'대치메가 9월 급여'!$W:$W,C12, '대치메가 9월 급여'!$A:$A, A12) + sumifs('대치메가 9월 급여'!$AF:$AF,'대치메가 9월 급여'!$AB:$AB,C12, '대치메가 9월 급여'!$A:$A, A12) + sumifs('대치메가 9월 급여'!$AK:$AK,'대치메가 9월 급여'!$AG:$AG,C12, '대치메가 9월 급여'!$A:$A, A12)</f>
        <v>0</v>
      </c>
      <c r="E12" s="118" t="str">
        <f t="shared" si="12"/>
        <v>X</v>
      </c>
      <c r="F12" s="119">
        <v>10030.0</v>
      </c>
      <c r="G12" s="120">
        <f t="shared" si="2"/>
        <v>0</v>
      </c>
      <c r="H12" s="120">
        <f t="shared" si="14"/>
        <v>0</v>
      </c>
      <c r="I12" s="120">
        <f t="shared" si="4"/>
        <v>0</v>
      </c>
      <c r="J12" s="114"/>
      <c r="K12" s="111"/>
      <c r="L12" s="19">
        <v>11.0</v>
      </c>
      <c r="M12" s="30"/>
      <c r="N12" s="121">
        <f t="shared" si="5"/>
        <v>0</v>
      </c>
      <c r="O12" s="122">
        <f t="shared" si="6"/>
        <v>0</v>
      </c>
      <c r="P12" s="122">
        <f t="shared" si="7"/>
        <v>0</v>
      </c>
      <c r="Q12" s="122">
        <f t="shared" si="8"/>
        <v>0</v>
      </c>
      <c r="R12" s="123">
        <v>0.0</v>
      </c>
      <c r="S12" s="124">
        <f t="shared" si="9"/>
        <v>0</v>
      </c>
      <c r="T12" s="125"/>
      <c r="U12" s="126"/>
      <c r="V12" s="126"/>
    </row>
    <row r="13">
      <c r="A13" s="115" t="s">
        <v>78</v>
      </c>
      <c r="B13" s="19">
        <v>12.0</v>
      </c>
      <c r="C13" s="30"/>
      <c r="D13" s="117">
        <f>sumifs('대치메가 9월 급여'!$G:$G, '대치메가 9월 급여'!$C:$C, C13, '대치메가 9월 급여'!$A:$A, A13) + sumifs('대치메가 9월 급여'!$L:$L,'대치메가 9월 급여'!$H:$H,C13, '대치메가 9월 급여'!$A:$A, A13) + sumifs('대치메가 9월 급여'!$Q:$Q,'대치메가 9월 급여'!$M:$M,C13, '대치메가 9월 급여'!$A:$A, A13) + sumifs('대치메가 9월 급여'!$V:$V,'대치메가 9월 급여'!$R:$R,C13, '대치메가 9월 급여'!$A:$A, A13) + sumifs('대치메가 9월 급여'!$AA:$AA,'대치메가 9월 급여'!$W:$W,C13, '대치메가 9월 급여'!$A:$A, A13) + sumifs('대치메가 9월 급여'!$AF:$AF,'대치메가 9월 급여'!$AB:$AB,C13, '대치메가 9월 급여'!$A:$A, A13) + sumifs('대치메가 9월 급여'!$AK:$AK,'대치메가 9월 급여'!$AG:$AG,C13, '대치메가 9월 급여'!$A:$A, A13)</f>
        <v>0</v>
      </c>
      <c r="E13" s="118" t="str">
        <f t="shared" si="12"/>
        <v>X</v>
      </c>
      <c r="F13" s="119">
        <v>10030.0</v>
      </c>
      <c r="G13" s="120">
        <f t="shared" si="2"/>
        <v>0</v>
      </c>
      <c r="H13" s="120">
        <f t="shared" si="14"/>
        <v>0</v>
      </c>
      <c r="I13" s="120">
        <f t="shared" si="4"/>
        <v>0</v>
      </c>
      <c r="J13" s="114"/>
      <c r="K13" s="111"/>
      <c r="L13" s="19">
        <v>12.0</v>
      </c>
      <c r="M13" s="30"/>
      <c r="N13" s="121">
        <f t="shared" si="5"/>
        <v>0</v>
      </c>
      <c r="O13" s="122">
        <f t="shared" si="6"/>
        <v>0</v>
      </c>
      <c r="P13" s="122">
        <f t="shared" si="7"/>
        <v>0</v>
      </c>
      <c r="Q13" s="122">
        <f t="shared" si="8"/>
        <v>0</v>
      </c>
      <c r="R13" s="124">
        <f>trunc(Q13*3%,-1)+trunc((Q13*3%)/10, -1)</f>
        <v>0</v>
      </c>
      <c r="S13" s="124">
        <f t="shared" si="9"/>
        <v>0</v>
      </c>
      <c r="T13" s="125"/>
      <c r="U13" s="126"/>
      <c r="V13" s="126"/>
    </row>
    <row r="14">
      <c r="A14" s="115" t="s">
        <v>78</v>
      </c>
      <c r="B14" s="19">
        <v>13.0</v>
      </c>
      <c r="C14" s="30"/>
      <c r="D14" s="117">
        <f>sumifs('대치메가 9월 급여'!$G:$G, '대치메가 9월 급여'!$C:$C, C14, '대치메가 9월 급여'!$A:$A, A14) + sumifs('대치메가 9월 급여'!$L:$L,'대치메가 9월 급여'!$H:$H,C14, '대치메가 9월 급여'!$A:$A, A14) + sumifs('대치메가 9월 급여'!$Q:$Q,'대치메가 9월 급여'!$M:$M,C14, '대치메가 9월 급여'!$A:$A, A14) + sumifs('대치메가 9월 급여'!$V:$V,'대치메가 9월 급여'!$R:$R,C14, '대치메가 9월 급여'!$A:$A, A14) + sumifs('대치메가 9월 급여'!$AA:$AA,'대치메가 9월 급여'!$W:$W,C14, '대치메가 9월 급여'!$A:$A, A14) + sumifs('대치메가 9월 급여'!$AF:$AF,'대치메가 9월 급여'!$AB:$AB,C14, '대치메가 9월 급여'!$A:$A, A14) + sumifs('대치메가 9월 급여'!$AK:$AK,'대치메가 9월 급여'!$AG:$AG,C14, '대치메가 9월 급여'!$A:$A, A14)</f>
        <v>0</v>
      </c>
      <c r="E14" s="118" t="str">
        <f t="shared" si="12"/>
        <v>X</v>
      </c>
      <c r="F14" s="119">
        <v>10030.0</v>
      </c>
      <c r="G14" s="120">
        <f t="shared" si="2"/>
        <v>0</v>
      </c>
      <c r="H14" s="120">
        <f t="shared" si="14"/>
        <v>0</v>
      </c>
      <c r="I14" s="120">
        <f t="shared" si="4"/>
        <v>0</v>
      </c>
      <c r="J14" s="114"/>
      <c r="K14" s="111"/>
      <c r="L14" s="19">
        <v>13.0</v>
      </c>
      <c r="M14" s="30"/>
      <c r="N14" s="121">
        <f t="shared" si="5"/>
        <v>0</v>
      </c>
      <c r="O14" s="122">
        <f t="shared" si="6"/>
        <v>0</v>
      </c>
      <c r="P14" s="120">
        <f t="shared" si="7"/>
        <v>0</v>
      </c>
      <c r="Q14" s="122">
        <f t="shared" si="8"/>
        <v>0</v>
      </c>
      <c r="R14" s="123">
        <v>0.0</v>
      </c>
      <c r="S14" s="124">
        <f t="shared" si="9"/>
        <v>0</v>
      </c>
      <c r="T14" s="19"/>
      <c r="U14" s="142" t="s">
        <v>104</v>
      </c>
      <c r="V14" s="143" t="s">
        <v>24</v>
      </c>
    </row>
    <row r="15">
      <c r="A15" s="115" t="s">
        <v>78</v>
      </c>
      <c r="B15" s="19">
        <v>14.0</v>
      </c>
      <c r="C15" s="96"/>
      <c r="D15" s="117">
        <f>sumifs('대치메가 9월 급여'!$G:$G, '대치메가 9월 급여'!$C:$C, C15, '대치메가 9월 급여'!$A:$A, A15) + sumifs('대치메가 9월 급여'!$L:$L,'대치메가 9월 급여'!$H:$H,C15, '대치메가 9월 급여'!$A:$A, A15) + sumifs('대치메가 9월 급여'!$Q:$Q,'대치메가 9월 급여'!$M:$M,C15, '대치메가 9월 급여'!$A:$A, A15) + sumifs('대치메가 9월 급여'!$V:$V,'대치메가 9월 급여'!$R:$R,C15, '대치메가 9월 급여'!$A:$A, A15) + sumifs('대치메가 9월 급여'!$AA:$AA,'대치메가 9월 급여'!$W:$W,C15, '대치메가 9월 급여'!$A:$A, A15) + sumifs('대치메가 9월 급여'!$AF:$AF,'대치메가 9월 급여'!$AB:$AB,C15, '대치메가 9월 급여'!$A:$A, A15) + sumifs('대치메가 9월 급여'!$AK:$AK,'대치메가 9월 급여'!$AG:$AG,C15, '대치메가 9월 급여'!$A:$A, A15)</f>
        <v>0</v>
      </c>
      <c r="E15" s="118" t="str">
        <f t="shared" si="12"/>
        <v>X</v>
      </c>
      <c r="F15" s="119">
        <v>10030.0</v>
      </c>
      <c r="G15" s="120">
        <f t="shared" si="2"/>
        <v>0</v>
      </c>
      <c r="H15" s="120">
        <f t="shared" si="14"/>
        <v>0</v>
      </c>
      <c r="I15" s="120">
        <f t="shared" si="4"/>
        <v>0</v>
      </c>
      <c r="J15" s="127"/>
      <c r="K15" s="111"/>
      <c r="L15" s="19">
        <v>14.0</v>
      </c>
      <c r="M15" s="96"/>
      <c r="N15" s="121">
        <f t="shared" si="5"/>
        <v>0</v>
      </c>
      <c r="O15" s="122">
        <f t="shared" si="6"/>
        <v>0</v>
      </c>
      <c r="P15" s="122">
        <f t="shared" si="7"/>
        <v>0</v>
      </c>
      <c r="Q15" s="122">
        <f t="shared" si="8"/>
        <v>0</v>
      </c>
      <c r="R15" s="124">
        <f>trunc(Q15*3%,-1)+trunc((Q15*3%)/10, -1)</f>
        <v>0</v>
      </c>
      <c r="S15" s="124">
        <f t="shared" si="9"/>
        <v>0</v>
      </c>
      <c r="T15" s="19"/>
      <c r="U15" s="142" t="s">
        <v>105</v>
      </c>
      <c r="V15" s="143" t="s">
        <v>24</v>
      </c>
    </row>
    <row r="16">
      <c r="A16" s="115" t="s">
        <v>78</v>
      </c>
      <c r="B16" s="19">
        <v>15.0</v>
      </c>
      <c r="C16" s="96"/>
      <c r="D16" s="117">
        <f>sumifs('대치메가 9월 급여'!$G:$G, '대치메가 9월 급여'!$C:$C, C16, '대치메가 9월 급여'!$A:$A, A16) + sumifs('대치메가 9월 급여'!$L:$L,'대치메가 9월 급여'!$H:$H,C16, '대치메가 9월 급여'!$A:$A, A16) + sumifs('대치메가 9월 급여'!$Q:$Q,'대치메가 9월 급여'!$M:$M,C16, '대치메가 9월 급여'!$A:$A, A16) + sumifs('대치메가 9월 급여'!$V:$V,'대치메가 9월 급여'!$R:$R,C16, '대치메가 9월 급여'!$A:$A, A16) + sumifs('대치메가 9월 급여'!$AA:$AA,'대치메가 9월 급여'!$W:$W,C16, '대치메가 9월 급여'!$A:$A, A16) + sumifs('대치메가 9월 급여'!$AF:$AF,'대치메가 9월 급여'!$AB:$AB,C16, '대치메가 9월 급여'!$A:$A, A16) + sumifs('대치메가 9월 급여'!$AK:$AK,'대치메가 9월 급여'!$AG:$AG,C16, '대치메가 9월 급여'!$A:$A, A16)</f>
        <v>0</v>
      </c>
      <c r="E16" s="118" t="str">
        <f t="shared" si="12"/>
        <v>X</v>
      </c>
      <c r="F16" s="119">
        <v>10030.0</v>
      </c>
      <c r="G16" s="120">
        <f t="shared" si="2"/>
        <v>0</v>
      </c>
      <c r="H16" s="120">
        <f t="shared" si="14"/>
        <v>0</v>
      </c>
      <c r="I16" s="120">
        <f t="shared" si="4"/>
        <v>0</v>
      </c>
      <c r="J16" s="114"/>
      <c r="K16" s="111"/>
      <c r="L16" s="19">
        <v>15.0</v>
      </c>
      <c r="M16" s="96"/>
      <c r="N16" s="121">
        <f t="shared" si="5"/>
        <v>0</v>
      </c>
      <c r="O16" s="122">
        <f t="shared" si="6"/>
        <v>0</v>
      </c>
      <c r="P16" s="122">
        <f t="shared" si="7"/>
        <v>0</v>
      </c>
      <c r="Q16" s="122">
        <f t="shared" si="8"/>
        <v>0</v>
      </c>
      <c r="R16" s="124">
        <f>trunc(Q16*3%,-1)+trunc((Q16*3%)/10, -1)</f>
        <v>0</v>
      </c>
      <c r="S16" s="124">
        <f t="shared" si="9"/>
        <v>0</v>
      </c>
      <c r="T16" s="19"/>
      <c r="U16" s="39" t="s">
        <v>106</v>
      </c>
      <c r="V16" s="143" t="s">
        <v>24</v>
      </c>
    </row>
    <row r="17">
      <c r="A17" s="144" t="s">
        <v>81</v>
      </c>
      <c r="B17" s="19">
        <v>1.0</v>
      </c>
      <c r="C17" s="116" t="s">
        <v>79</v>
      </c>
      <c r="D17" s="117">
        <f>sumifs('대치메가 9월 급여'!$G:$G, '대치메가 9월 급여'!$C:$C, C17, '대치메가 9월 급여'!$A:$A, A17) + sumifs('대치메가 9월 급여'!$L:$L,'대치메가 9월 급여'!$H:$H,C17, '대치메가 9월 급여'!$A:$A, A17) + sumifs('대치메가 9월 급여'!$Q:$Q,'대치메가 9월 급여'!$M:$M,C17, '대치메가 9월 급여'!$A:$A, A17) + sumifs('대치메가 9월 급여'!$V:$V,'대치메가 9월 급여'!$R:$R,C17, '대치메가 9월 급여'!$A:$A, A17) + sumifs('대치메가 9월 급여'!$AA:$AA,'대치메가 9월 급여'!$W:$W,C17, '대치메가 9월 급여'!$A:$A, A17) + sumifs('대치메가 9월 급여'!$AF:$AF,'대치메가 9월 급여'!$AB:$AB,C17, '대치메가 9월 급여'!$A:$A, A17) + sumifs('대치메가 9월 급여'!$AK:$AK,'대치메가 9월 급여'!$AG:$AG,C17, '대치메가 9월 급여'!$A:$A, A17)</f>
        <v>43.5</v>
      </c>
      <c r="E17" s="118" t="str">
        <f t="shared" si="12"/>
        <v>O</v>
      </c>
      <c r="F17" s="119">
        <v>10030.0</v>
      </c>
      <c r="G17" s="120">
        <f t="shared" si="2"/>
        <v>436305</v>
      </c>
      <c r="H17" s="120">
        <f t="shared" si="14"/>
        <v>87261</v>
      </c>
      <c r="I17" s="120">
        <f t="shared" si="4"/>
        <v>523566</v>
      </c>
      <c r="J17" s="114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</row>
    <row r="18">
      <c r="A18" s="144" t="s">
        <v>81</v>
      </c>
      <c r="B18" s="19">
        <v>2.0</v>
      </c>
      <c r="C18" s="116" t="s">
        <v>16</v>
      </c>
      <c r="D18" s="117">
        <f>sumifs('대치메가 9월 급여'!$G:$G, '대치메가 9월 급여'!$C:$C, C18, '대치메가 9월 급여'!$A:$A, A18) + sumifs('대치메가 9월 급여'!$L:$L,'대치메가 9월 급여'!$H:$H,C18, '대치메가 9월 급여'!$A:$A, A18) + sumifs('대치메가 9월 급여'!$Q:$Q,'대치메가 9월 급여'!$M:$M,C18, '대치메가 9월 급여'!$A:$A, A18) + sumifs('대치메가 9월 급여'!$V:$V,'대치메가 9월 급여'!$R:$R,C18, '대치메가 9월 급여'!$A:$A, A18) + sumifs('대치메가 9월 급여'!$AA:$AA,'대치메가 9월 급여'!$W:$W,C18, '대치메가 9월 급여'!$A:$A, A18) + sumifs('대치메가 9월 급여'!$AF:$AF,'대치메가 9월 급여'!$AB:$AB,C18, '대치메가 9월 급여'!$A:$A, A18) + sumifs('대치메가 9월 급여'!$AK:$AK,'대치메가 9월 급여'!$AG:$AG,C18, '대치메가 9월 급여'!$A:$A, A18)</f>
        <v>7</v>
      </c>
      <c r="E18" s="118" t="str">
        <f t="shared" si="12"/>
        <v>X</v>
      </c>
      <c r="F18" s="119">
        <v>10030.0</v>
      </c>
      <c r="G18" s="120">
        <f t="shared" si="2"/>
        <v>70210</v>
      </c>
      <c r="H18" s="120">
        <f t="shared" si="14"/>
        <v>0</v>
      </c>
      <c r="I18" s="120">
        <f t="shared" si="4"/>
        <v>70210</v>
      </c>
      <c r="J18" s="127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</row>
    <row r="19">
      <c r="A19" s="144" t="s">
        <v>81</v>
      </c>
      <c r="B19" s="19">
        <v>3.0</v>
      </c>
      <c r="C19" s="116" t="s">
        <v>20</v>
      </c>
      <c r="D19" s="117">
        <f>sumifs('대치메가 9월 급여'!$G:$G, '대치메가 9월 급여'!$C:$C, C19, '대치메가 9월 급여'!$A:$A, A19) + sumifs('대치메가 9월 급여'!$L:$L,'대치메가 9월 급여'!$H:$H,C19, '대치메가 9월 급여'!$A:$A, A19) + sumifs('대치메가 9월 급여'!$Q:$Q,'대치메가 9월 급여'!$M:$M,C19, '대치메가 9월 급여'!$A:$A, A19) + sumifs('대치메가 9월 급여'!$V:$V,'대치메가 9월 급여'!$R:$R,C19, '대치메가 9월 급여'!$A:$A, A19) + sumifs('대치메가 9월 급여'!$AA:$AA,'대치메가 9월 급여'!$W:$W,C19, '대치메가 9월 급여'!$A:$A, A19) + sumifs('대치메가 9월 급여'!$AF:$AF,'대치메가 9월 급여'!$AB:$AB,C19, '대치메가 9월 급여'!$A:$A, A19) + sumifs('대치메가 9월 급여'!$AK:$AK,'대치메가 9월 급여'!$AG:$AG,C19, '대치메가 9월 급여'!$A:$A, A19)</f>
        <v>42</v>
      </c>
      <c r="E19" s="118" t="str">
        <f t="shared" si="12"/>
        <v>O</v>
      </c>
      <c r="F19" s="119">
        <v>11030.0</v>
      </c>
      <c r="G19" s="120">
        <f t="shared" si="2"/>
        <v>463260</v>
      </c>
      <c r="H19" s="120">
        <f>if(E19="O", 40/40*8*F19, 0)</f>
        <v>88240</v>
      </c>
      <c r="I19" s="120">
        <f t="shared" si="4"/>
        <v>551500</v>
      </c>
      <c r="J19" s="127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</row>
    <row r="20">
      <c r="A20" s="144" t="s">
        <v>81</v>
      </c>
      <c r="B20" s="19">
        <v>4.0</v>
      </c>
      <c r="C20" s="116" t="s">
        <v>25</v>
      </c>
      <c r="D20" s="117">
        <f>sumifs('대치메가 9월 급여'!$G:$G, '대치메가 9월 급여'!$C:$C, C20, '대치메가 9월 급여'!$A:$A, A20) + sumifs('대치메가 9월 급여'!$L:$L,'대치메가 9월 급여'!$H:$H,C20, '대치메가 9월 급여'!$A:$A, A20) + sumifs('대치메가 9월 급여'!$Q:$Q,'대치메가 9월 급여'!$M:$M,C20, '대치메가 9월 급여'!$A:$A, A20) + sumifs('대치메가 9월 급여'!$V:$V,'대치메가 9월 급여'!$R:$R,C20, '대치메가 9월 급여'!$A:$A, A20) + sumifs('대치메가 9월 급여'!$AA:$AA,'대치메가 9월 급여'!$W:$W,C20, '대치메가 9월 급여'!$A:$A, A20) + sumifs('대치메가 9월 급여'!$AF:$AF,'대치메가 9월 급여'!$AB:$AB,C20, '대치메가 9월 급여'!$A:$A, A20) + sumifs('대치메가 9월 급여'!$AK:$AK,'대치메가 9월 급여'!$AG:$AG,C20, '대치메가 9월 급여'!$A:$A, A20)</f>
        <v>21</v>
      </c>
      <c r="E20" s="118" t="str">
        <f t="shared" si="12"/>
        <v>O</v>
      </c>
      <c r="F20" s="119">
        <v>10030.0</v>
      </c>
      <c r="G20" s="120">
        <f t="shared" si="2"/>
        <v>210630</v>
      </c>
      <c r="H20" s="120">
        <f>if(E20="O", 21/40*8*F20, 0)</f>
        <v>42126</v>
      </c>
      <c r="I20" s="120">
        <f t="shared" si="4"/>
        <v>252756</v>
      </c>
      <c r="J20" s="114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</row>
    <row r="21">
      <c r="A21" s="144" t="s">
        <v>81</v>
      </c>
      <c r="B21" s="19">
        <v>5.0</v>
      </c>
      <c r="C21" s="130" t="s">
        <v>30</v>
      </c>
      <c r="D21" s="117">
        <f>sumifs('대치메가 9월 급여'!$G:$G, '대치메가 9월 급여'!$C:$C, C21, '대치메가 9월 급여'!$A:$A, A21) + sumifs('대치메가 9월 급여'!$L:$L,'대치메가 9월 급여'!$H:$H,C21, '대치메가 9월 급여'!$A:$A, A21) + sumifs('대치메가 9월 급여'!$Q:$Q,'대치메가 9월 급여'!$M:$M,C21, '대치메가 9월 급여'!$A:$A, A21) + sumifs('대치메가 9월 급여'!$V:$V,'대치메가 9월 급여'!$R:$R,C21, '대치메가 9월 급여'!$A:$A, A21) + sumifs('대치메가 9월 급여'!$AA:$AA,'대치메가 9월 급여'!$W:$W,C21, '대치메가 9월 급여'!$A:$A, A21) + sumifs('대치메가 9월 급여'!$AF:$AF,'대치메가 9월 급여'!$AB:$AB,C21, '대치메가 9월 급여'!$A:$A, A21) + sumifs('대치메가 9월 급여'!$AK:$AK,'대치메가 9월 급여'!$AG:$AG,C21, '대치메가 9월 급여'!$A:$A, A21)</f>
        <v>16</v>
      </c>
      <c r="E21" s="131" t="s">
        <v>99</v>
      </c>
      <c r="F21" s="119">
        <v>11030.0</v>
      </c>
      <c r="G21" s="120">
        <f t="shared" si="2"/>
        <v>176480</v>
      </c>
      <c r="H21" s="120">
        <f t="shared" ref="H21:H23" si="15">if(E21="O", D21/40*8*F21, 0)</f>
        <v>0</v>
      </c>
      <c r="I21" s="120">
        <f t="shared" si="4"/>
        <v>176480</v>
      </c>
      <c r="J21" s="114"/>
      <c r="K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</row>
    <row r="22">
      <c r="A22" s="144" t="s">
        <v>81</v>
      </c>
      <c r="B22" s="19">
        <v>6.0</v>
      </c>
      <c r="C22" s="116" t="s">
        <v>36</v>
      </c>
      <c r="D22" s="117">
        <f>sumifs('대치메가 9월 급여'!$G:$G, '대치메가 9월 급여'!$C:$C, C22, '대치메가 9월 급여'!$A:$A, A22) + sumifs('대치메가 9월 급여'!$L:$L,'대치메가 9월 급여'!$H:$H,C22, '대치메가 9월 급여'!$A:$A, A22) + sumifs('대치메가 9월 급여'!$Q:$Q,'대치메가 9월 급여'!$M:$M,C22, '대치메가 9월 급여'!$A:$A, A22) + sumifs('대치메가 9월 급여'!$V:$V,'대치메가 9월 급여'!$R:$R,C22, '대치메가 9월 급여'!$A:$A, A22) + sumifs('대치메가 9월 급여'!$AA:$AA,'대치메가 9월 급여'!$W:$W,C22, '대치메가 9월 급여'!$A:$A, A22) + sumifs('대치메가 9월 급여'!$AF:$AF,'대치메가 9월 급여'!$AB:$AB,C22, '대치메가 9월 급여'!$A:$A, A22) + sumifs('대치메가 9월 급여'!$AK:$AK,'대치메가 9월 급여'!$AG:$AG,C22, '대치메가 9월 급여'!$A:$A, A22)</f>
        <v>8.5</v>
      </c>
      <c r="E22" s="118" t="str">
        <f t="shared" ref="E22:E35" si="16">if(D22 &gt;= 15, "O", "X")</f>
        <v>X</v>
      </c>
      <c r="F22" s="119">
        <v>11030.0</v>
      </c>
      <c r="G22" s="120">
        <f t="shared" si="2"/>
        <v>93755</v>
      </c>
      <c r="H22" s="120">
        <f t="shared" si="15"/>
        <v>0</v>
      </c>
      <c r="I22" s="120">
        <f t="shared" si="4"/>
        <v>93755</v>
      </c>
      <c r="J22" s="145"/>
      <c r="K22" s="111"/>
      <c r="L22" s="111"/>
      <c r="M22" s="111"/>
      <c r="N22" s="111"/>
      <c r="O22" s="111"/>
      <c r="P22" s="111"/>
      <c r="Q22" s="111"/>
      <c r="R22" s="146"/>
      <c r="S22" s="111"/>
      <c r="T22" s="111"/>
      <c r="U22" s="111"/>
      <c r="V22" s="111"/>
    </row>
    <row r="23">
      <c r="A23" s="144" t="s">
        <v>81</v>
      </c>
      <c r="B23" s="19">
        <v>7.0</v>
      </c>
      <c r="C23" s="116" t="s">
        <v>41</v>
      </c>
      <c r="D23" s="117">
        <f>sumifs('대치메가 9월 급여'!$G:$G, '대치메가 9월 급여'!$C:$C, C23, '대치메가 9월 급여'!$A:$A, A23) + sumifs('대치메가 9월 급여'!$L:$L,'대치메가 9월 급여'!$H:$H,C23, '대치메가 9월 급여'!$A:$A, A23) + sumifs('대치메가 9월 급여'!$Q:$Q,'대치메가 9월 급여'!$M:$M,C23, '대치메가 9월 급여'!$A:$A, A23) + sumifs('대치메가 9월 급여'!$V:$V,'대치메가 9월 급여'!$R:$R,C23, '대치메가 9월 급여'!$A:$A, A23) + sumifs('대치메가 9월 급여'!$AA:$AA,'대치메가 9월 급여'!$W:$W,C23, '대치메가 9월 급여'!$A:$A, A23) + sumifs('대치메가 9월 급여'!$AF:$AF,'대치메가 9월 급여'!$AB:$AB,C23, '대치메가 9월 급여'!$A:$A, A23) + sumifs('대치메가 9월 급여'!$AK:$AK,'대치메가 9월 급여'!$AG:$AG,C23, '대치메가 9월 급여'!$A:$A, A23)</f>
        <v>19</v>
      </c>
      <c r="E23" s="118" t="str">
        <f t="shared" si="16"/>
        <v>O</v>
      </c>
      <c r="F23" s="119">
        <v>10030.0</v>
      </c>
      <c r="G23" s="120">
        <f t="shared" si="2"/>
        <v>190570</v>
      </c>
      <c r="H23" s="120">
        <f t="shared" si="15"/>
        <v>38114</v>
      </c>
      <c r="I23" s="120">
        <f t="shared" si="4"/>
        <v>228684</v>
      </c>
      <c r="J23" s="114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</row>
    <row r="24">
      <c r="A24" s="144" t="s">
        <v>81</v>
      </c>
      <c r="B24" s="19">
        <v>8.0</v>
      </c>
      <c r="C24" s="116" t="s">
        <v>45</v>
      </c>
      <c r="D24" s="136">
        <f>sumifs('대치메가 9월 급여'!$G:$G, '대치메가 9월 급여'!$C:$C, C24, '대치메가 9월 급여'!$A:$A, A24) + sumifs('대치메가 9월 급여'!$L:$L,'대치메가 9월 급여'!$H:$H,C24, '대치메가 9월 급여'!$A:$A, A24) + sumifs('대치메가 9월 급여'!$Q:$Q,'대치메가 9월 급여'!$M:$M,C24, '대치메가 9월 급여'!$A:$A, A24) + sumifs('대치메가 9월 급여'!$V:$V,'대치메가 9월 급여'!$R:$R,C24, '대치메가 9월 급여'!$A:$A, A24) + sumifs('대치메가 9월 급여'!$AA:$AA,'대치메가 9월 급여'!$W:$W,C24, '대치메가 9월 급여'!$A:$A, A24) + sumifs('대치메가 9월 급여'!$AF:$AF,'대치메가 9월 급여'!$AB:$AB,C24, '대치메가 9월 급여'!$A:$A, A24) + sumifs('대치메가 9월 급여'!$AK:$AK,'대치메가 9월 급여'!$AG:$AG,C24, '대치메가 9월 급여'!$A:$A, A24)</f>
        <v>17.75</v>
      </c>
      <c r="E24" s="118" t="str">
        <f t="shared" si="16"/>
        <v>O</v>
      </c>
      <c r="F24" s="119">
        <v>11030.0</v>
      </c>
      <c r="G24" s="120">
        <f t="shared" si="2"/>
        <v>195782.5</v>
      </c>
      <c r="H24" s="120">
        <f>if(E24="O", 17/40*8*F24, 0)</f>
        <v>37502</v>
      </c>
      <c r="I24" s="120">
        <f t="shared" si="4"/>
        <v>233284.5</v>
      </c>
      <c r="J24" s="127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</row>
    <row r="25">
      <c r="A25" s="144" t="s">
        <v>81</v>
      </c>
      <c r="B25" s="19">
        <v>9.0</v>
      </c>
      <c r="C25" s="116" t="s">
        <v>80</v>
      </c>
      <c r="D25" s="117">
        <f>sumifs('대치메가 9월 급여'!$G:$G, '대치메가 9월 급여'!$C:$C, C25, '대치메가 9월 급여'!$A:$A, A25) + sumifs('대치메가 9월 급여'!$L:$L,'대치메가 9월 급여'!$H:$H,C25, '대치메가 9월 급여'!$A:$A, A25) + sumifs('대치메가 9월 급여'!$Q:$Q,'대치메가 9월 급여'!$M:$M,C25, '대치메가 9월 급여'!$A:$A, A25) + sumifs('대치메가 9월 급여'!$V:$V,'대치메가 9월 급여'!$R:$R,C25, '대치메가 9월 급여'!$A:$A, A25) + sumifs('대치메가 9월 급여'!$AA:$AA,'대치메가 9월 급여'!$W:$W,C25, '대치메가 9월 급여'!$A:$A, A25) + sumifs('대치메가 9월 급여'!$AF:$AF,'대치메가 9월 급여'!$AB:$AB,C25, '대치메가 9월 급여'!$A:$A, A25) + sumifs('대치메가 9월 급여'!$AK:$AK,'대치메가 9월 급여'!$AG:$AG,C25, '대치메가 9월 급여'!$A:$A, A25)</f>
        <v>0</v>
      </c>
      <c r="E25" s="118" t="str">
        <f t="shared" si="16"/>
        <v>X</v>
      </c>
      <c r="F25" s="119">
        <v>10030.0</v>
      </c>
      <c r="G25" s="120">
        <f t="shared" si="2"/>
        <v>0</v>
      </c>
      <c r="H25" s="120">
        <f t="shared" ref="H25:H33" si="17">if(E25="O", D25/40*8*F25, 0)</f>
        <v>0</v>
      </c>
      <c r="I25" s="120">
        <f t="shared" si="4"/>
        <v>0</v>
      </c>
      <c r="J25" s="114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</row>
    <row r="26">
      <c r="A26" s="144" t="s">
        <v>81</v>
      </c>
      <c r="B26" s="19">
        <v>10.0</v>
      </c>
      <c r="C26" s="116"/>
      <c r="D26" s="117">
        <f>sumifs('대치메가 9월 급여'!$G:$G, '대치메가 9월 급여'!$C:$C, C26, '대치메가 9월 급여'!$A:$A, A26) + sumifs('대치메가 9월 급여'!$L:$L,'대치메가 9월 급여'!$H:$H,C26, '대치메가 9월 급여'!$A:$A, A26) + sumifs('대치메가 9월 급여'!$Q:$Q,'대치메가 9월 급여'!$M:$M,C26, '대치메가 9월 급여'!$A:$A, A26) + sumifs('대치메가 9월 급여'!$V:$V,'대치메가 9월 급여'!$R:$R,C26, '대치메가 9월 급여'!$A:$A, A26) + sumifs('대치메가 9월 급여'!$AA:$AA,'대치메가 9월 급여'!$W:$W,C26, '대치메가 9월 급여'!$A:$A, A26) + sumifs('대치메가 9월 급여'!$AF:$AF,'대치메가 9월 급여'!$AB:$AB,C26, '대치메가 9월 급여'!$A:$A, A26) + sumifs('대치메가 9월 급여'!$AK:$AK,'대치메가 9월 급여'!$AG:$AG,C26, '대치메가 9월 급여'!$A:$A, A26)</f>
        <v>0</v>
      </c>
      <c r="E26" s="118" t="str">
        <f t="shared" si="16"/>
        <v>X</v>
      </c>
      <c r="F26" s="119">
        <v>10030.0</v>
      </c>
      <c r="G26" s="120">
        <f t="shared" si="2"/>
        <v>0</v>
      </c>
      <c r="H26" s="120">
        <f t="shared" si="17"/>
        <v>0</v>
      </c>
      <c r="I26" s="120">
        <f t="shared" si="4"/>
        <v>0</v>
      </c>
      <c r="J26" s="114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</row>
    <row r="27">
      <c r="A27" s="144" t="s">
        <v>81</v>
      </c>
      <c r="B27" s="19">
        <v>11.0</v>
      </c>
      <c r="C27" s="30"/>
      <c r="D27" s="117">
        <f>sumifs('대치메가 9월 급여'!$G:$G, '대치메가 9월 급여'!$C:$C, C27, '대치메가 9월 급여'!$A:$A, A27) + sumifs('대치메가 9월 급여'!$L:$L,'대치메가 9월 급여'!$H:$H,C27, '대치메가 9월 급여'!$A:$A, A27) + sumifs('대치메가 9월 급여'!$Q:$Q,'대치메가 9월 급여'!$M:$M,C27, '대치메가 9월 급여'!$A:$A, A27) + sumifs('대치메가 9월 급여'!$V:$V,'대치메가 9월 급여'!$R:$R,C27, '대치메가 9월 급여'!$A:$A, A27) + sumifs('대치메가 9월 급여'!$AA:$AA,'대치메가 9월 급여'!$W:$W,C27, '대치메가 9월 급여'!$A:$A, A27) + sumifs('대치메가 9월 급여'!$AF:$AF,'대치메가 9월 급여'!$AB:$AB,C27, '대치메가 9월 급여'!$A:$A, A27) + sumifs('대치메가 9월 급여'!$AK:$AK,'대치메가 9월 급여'!$AG:$AG,C27, '대치메가 9월 급여'!$A:$A, A27)</f>
        <v>0</v>
      </c>
      <c r="E27" s="118" t="str">
        <f t="shared" si="16"/>
        <v>X</v>
      </c>
      <c r="F27" s="119">
        <v>10030.0</v>
      </c>
      <c r="G27" s="120">
        <f t="shared" si="2"/>
        <v>0</v>
      </c>
      <c r="H27" s="120">
        <f t="shared" si="17"/>
        <v>0</v>
      </c>
      <c r="I27" s="120">
        <f t="shared" si="4"/>
        <v>0</v>
      </c>
      <c r="J27" s="127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</row>
    <row r="28">
      <c r="A28" s="144" t="s">
        <v>81</v>
      </c>
      <c r="B28" s="19">
        <v>12.0</v>
      </c>
      <c r="C28" s="30"/>
      <c r="D28" s="117">
        <f>sumifs('대치메가 9월 급여'!$G:$G, '대치메가 9월 급여'!$C:$C, C28, '대치메가 9월 급여'!$A:$A, A28) + sumifs('대치메가 9월 급여'!$L:$L,'대치메가 9월 급여'!$H:$H,C28, '대치메가 9월 급여'!$A:$A, A28) + sumifs('대치메가 9월 급여'!$Q:$Q,'대치메가 9월 급여'!$M:$M,C28, '대치메가 9월 급여'!$A:$A, A28) + sumifs('대치메가 9월 급여'!$V:$V,'대치메가 9월 급여'!$R:$R,C28, '대치메가 9월 급여'!$A:$A, A28) + sumifs('대치메가 9월 급여'!$AA:$AA,'대치메가 9월 급여'!$W:$W,C28, '대치메가 9월 급여'!$A:$A, A28) + sumifs('대치메가 9월 급여'!$AF:$AF,'대치메가 9월 급여'!$AB:$AB,C28, '대치메가 9월 급여'!$A:$A, A28) + sumifs('대치메가 9월 급여'!$AK:$AK,'대치메가 9월 급여'!$AG:$AG,C28, '대치메가 9월 급여'!$A:$A, A28)</f>
        <v>0</v>
      </c>
      <c r="E28" s="118" t="str">
        <f t="shared" si="16"/>
        <v>X</v>
      </c>
      <c r="F28" s="119">
        <v>10030.0</v>
      </c>
      <c r="G28" s="120">
        <f t="shared" si="2"/>
        <v>0</v>
      </c>
      <c r="H28" s="120">
        <f t="shared" si="17"/>
        <v>0</v>
      </c>
      <c r="I28" s="120">
        <f t="shared" si="4"/>
        <v>0</v>
      </c>
      <c r="J28" s="127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</row>
    <row r="29">
      <c r="A29" s="144" t="s">
        <v>81</v>
      </c>
      <c r="B29" s="19">
        <v>13.0</v>
      </c>
      <c r="C29" s="30"/>
      <c r="D29" s="117">
        <f>sumifs('대치메가 9월 급여'!$G:$G, '대치메가 9월 급여'!$C:$C, C29, '대치메가 9월 급여'!$A:$A, A29) + sumifs('대치메가 9월 급여'!$L:$L,'대치메가 9월 급여'!$H:$H,C29, '대치메가 9월 급여'!$A:$A, A29) + sumifs('대치메가 9월 급여'!$Q:$Q,'대치메가 9월 급여'!$M:$M,C29, '대치메가 9월 급여'!$A:$A, A29) + sumifs('대치메가 9월 급여'!$V:$V,'대치메가 9월 급여'!$R:$R,C29, '대치메가 9월 급여'!$A:$A, A29) + sumifs('대치메가 9월 급여'!$AA:$AA,'대치메가 9월 급여'!$W:$W,C29, '대치메가 9월 급여'!$A:$A, A29) + sumifs('대치메가 9월 급여'!$AF:$AF,'대치메가 9월 급여'!$AB:$AB,C29, '대치메가 9월 급여'!$A:$A, A29) + sumifs('대치메가 9월 급여'!$AK:$AK,'대치메가 9월 급여'!$AG:$AG,C29, '대치메가 9월 급여'!$A:$A, A29)</f>
        <v>0</v>
      </c>
      <c r="E29" s="118" t="str">
        <f t="shared" si="16"/>
        <v>X</v>
      </c>
      <c r="F29" s="119">
        <v>10030.0</v>
      </c>
      <c r="G29" s="120">
        <f t="shared" si="2"/>
        <v>0</v>
      </c>
      <c r="H29" s="120">
        <f t="shared" si="17"/>
        <v>0</v>
      </c>
      <c r="I29" s="120">
        <f t="shared" si="4"/>
        <v>0</v>
      </c>
      <c r="J29" s="127"/>
      <c r="K29" s="111"/>
      <c r="L29" s="111"/>
      <c r="M29" s="111"/>
      <c r="N29" s="111"/>
      <c r="O29" s="111"/>
      <c r="P29" s="111"/>
      <c r="Q29" s="111"/>
      <c r="R29" s="111"/>
      <c r="S29" s="111"/>
      <c r="T29" s="146"/>
      <c r="U29" s="146"/>
      <c r="V29" s="146"/>
    </row>
    <row r="30">
      <c r="A30" s="144" t="s">
        <v>81</v>
      </c>
      <c r="B30" s="19">
        <v>14.0</v>
      </c>
      <c r="C30" s="96"/>
      <c r="D30" s="117">
        <f>sumifs('대치메가 9월 급여'!$G:$G, '대치메가 9월 급여'!$C:$C, C30, '대치메가 9월 급여'!$A:$A, A30) + sumifs('대치메가 9월 급여'!$L:$L,'대치메가 9월 급여'!$H:$H,C30, '대치메가 9월 급여'!$A:$A, A30) + sumifs('대치메가 9월 급여'!$Q:$Q,'대치메가 9월 급여'!$M:$M,C30, '대치메가 9월 급여'!$A:$A, A30) + sumifs('대치메가 9월 급여'!$V:$V,'대치메가 9월 급여'!$R:$R,C30, '대치메가 9월 급여'!$A:$A, A30) + sumifs('대치메가 9월 급여'!$AA:$AA,'대치메가 9월 급여'!$W:$W,C30, '대치메가 9월 급여'!$A:$A, A30) + sumifs('대치메가 9월 급여'!$AF:$AF,'대치메가 9월 급여'!$AB:$AB,C30, '대치메가 9월 급여'!$A:$A, A30) + sumifs('대치메가 9월 급여'!$AK:$AK,'대치메가 9월 급여'!$AG:$AG,C30, '대치메가 9월 급여'!$A:$A, A30)</f>
        <v>0</v>
      </c>
      <c r="E30" s="118" t="str">
        <f t="shared" si="16"/>
        <v>X</v>
      </c>
      <c r="F30" s="119">
        <v>10030.0</v>
      </c>
      <c r="G30" s="120">
        <f t="shared" si="2"/>
        <v>0</v>
      </c>
      <c r="H30" s="120">
        <f t="shared" si="17"/>
        <v>0</v>
      </c>
      <c r="I30" s="120">
        <f t="shared" si="4"/>
        <v>0</v>
      </c>
      <c r="J30" s="127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</row>
    <row r="31">
      <c r="A31" s="144" t="s">
        <v>81</v>
      </c>
      <c r="B31" s="19">
        <v>15.0</v>
      </c>
      <c r="C31" s="96"/>
      <c r="D31" s="117">
        <f>sumifs('대치메가 9월 급여'!$G:$G, '대치메가 9월 급여'!$C:$C, C31, '대치메가 9월 급여'!$A:$A, A31) + sumifs('대치메가 9월 급여'!$L:$L,'대치메가 9월 급여'!$H:$H,C31, '대치메가 9월 급여'!$A:$A, A31) + sumifs('대치메가 9월 급여'!$Q:$Q,'대치메가 9월 급여'!$M:$M,C31, '대치메가 9월 급여'!$A:$A, A31) + sumifs('대치메가 9월 급여'!$V:$V,'대치메가 9월 급여'!$R:$R,C31, '대치메가 9월 급여'!$A:$A, A31) + sumifs('대치메가 9월 급여'!$AA:$AA,'대치메가 9월 급여'!$W:$W,C31, '대치메가 9월 급여'!$A:$A, A31) + sumifs('대치메가 9월 급여'!$AF:$AF,'대치메가 9월 급여'!$AB:$AB,C31, '대치메가 9월 급여'!$A:$A, A31) + sumifs('대치메가 9월 급여'!$AK:$AK,'대치메가 9월 급여'!$AG:$AG,C31, '대치메가 9월 급여'!$A:$A, A31)</f>
        <v>0</v>
      </c>
      <c r="E31" s="118" t="str">
        <f t="shared" si="16"/>
        <v>X</v>
      </c>
      <c r="F31" s="119">
        <v>10030.0</v>
      </c>
      <c r="G31" s="120">
        <f t="shared" si="2"/>
        <v>0</v>
      </c>
      <c r="H31" s="120">
        <f t="shared" si="17"/>
        <v>0</v>
      </c>
      <c r="I31" s="120">
        <f t="shared" si="4"/>
        <v>0</v>
      </c>
      <c r="J31" s="127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</row>
    <row r="32">
      <c r="A32" s="141" t="s">
        <v>82</v>
      </c>
      <c r="B32" s="19">
        <v>1.0</v>
      </c>
      <c r="C32" s="116" t="s">
        <v>79</v>
      </c>
      <c r="D32" s="117">
        <f>sumifs('대치메가 9월 급여'!$G:$G, '대치메가 9월 급여'!$C:$C, C32, '대치메가 9월 급여'!$A:$A, A32) + sumifs('대치메가 9월 급여'!$L:$L,'대치메가 9월 급여'!$H:$H,C32, '대치메가 9월 급여'!$A:$A, A32) + sumifs('대치메가 9월 급여'!$Q:$Q,'대치메가 9월 급여'!$M:$M,C32, '대치메가 9월 급여'!$A:$A, A32) + sumifs('대치메가 9월 급여'!$V:$V,'대치메가 9월 급여'!$R:$R,C32, '대치메가 9월 급여'!$A:$A, A32) + sumifs('대치메가 9월 급여'!$AA:$AA,'대치메가 9월 급여'!$W:$W,C32, '대치메가 9월 급여'!$A:$A, A32) + sumifs('대치메가 9월 급여'!$AF:$AF,'대치메가 9월 급여'!$AB:$AB,C32, '대치메가 9월 급여'!$A:$A, A32) + sumifs('대치메가 9월 급여'!$AK:$AK,'대치메가 9월 급여'!$AG:$AG,C32, '대치메가 9월 급여'!$A:$A, A32)</f>
        <v>42.5</v>
      </c>
      <c r="E32" s="118" t="str">
        <f t="shared" si="16"/>
        <v>O</v>
      </c>
      <c r="F32" s="119">
        <v>10030.0</v>
      </c>
      <c r="G32" s="120">
        <f t="shared" si="2"/>
        <v>426275</v>
      </c>
      <c r="H32" s="120">
        <f t="shared" si="17"/>
        <v>85255</v>
      </c>
      <c r="I32" s="120">
        <f t="shared" si="4"/>
        <v>511530</v>
      </c>
      <c r="J32" s="114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</row>
    <row r="33">
      <c r="A33" s="141" t="s">
        <v>82</v>
      </c>
      <c r="B33" s="19">
        <v>2.0</v>
      </c>
      <c r="C33" s="116" t="s">
        <v>16</v>
      </c>
      <c r="D33" s="117">
        <f>sumifs('대치메가 9월 급여'!$G:$G, '대치메가 9월 급여'!$C:$C, C33, '대치메가 9월 급여'!$A:$A, A33) + sumifs('대치메가 9월 급여'!$L:$L,'대치메가 9월 급여'!$H:$H,C33, '대치메가 9월 급여'!$A:$A, A33) + sumifs('대치메가 9월 급여'!$Q:$Q,'대치메가 9월 급여'!$M:$M,C33, '대치메가 9월 급여'!$A:$A, A33) + sumifs('대치메가 9월 급여'!$V:$V,'대치메가 9월 급여'!$R:$R,C33, '대치메가 9월 급여'!$A:$A, A33) + sumifs('대치메가 9월 급여'!$AA:$AA,'대치메가 9월 급여'!$W:$W,C33, '대치메가 9월 급여'!$A:$A, A33) + sumifs('대치메가 9월 급여'!$AF:$AF,'대치메가 9월 급여'!$AB:$AB,C33, '대치메가 9월 급여'!$A:$A, A33) + sumifs('대치메가 9월 급여'!$AK:$AK,'대치메가 9월 급여'!$AG:$AG,C33, '대치메가 9월 급여'!$A:$A, A33)</f>
        <v>7</v>
      </c>
      <c r="E33" s="118" t="str">
        <f t="shared" si="16"/>
        <v>X</v>
      </c>
      <c r="F33" s="119">
        <v>10030.0</v>
      </c>
      <c r="G33" s="120">
        <f t="shared" si="2"/>
        <v>70210</v>
      </c>
      <c r="H33" s="120">
        <f t="shared" si="17"/>
        <v>0</v>
      </c>
      <c r="I33" s="120">
        <f t="shared" si="4"/>
        <v>70210</v>
      </c>
      <c r="J33" s="127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</row>
    <row r="34">
      <c r="A34" s="141" t="s">
        <v>82</v>
      </c>
      <c r="B34" s="19">
        <v>3.0</v>
      </c>
      <c r="C34" s="116" t="s">
        <v>20</v>
      </c>
      <c r="D34" s="117">
        <f>sumifs('대치메가 9월 급여'!$G:$G, '대치메가 9월 급여'!$C:$C, C34, '대치메가 9월 급여'!$A:$A, A34) + sumifs('대치메가 9월 급여'!$L:$L,'대치메가 9월 급여'!$H:$H,C34, '대치메가 9월 급여'!$A:$A, A34) + sumifs('대치메가 9월 급여'!$Q:$Q,'대치메가 9월 급여'!$M:$M,C34, '대치메가 9월 급여'!$A:$A, A34) + sumifs('대치메가 9월 급여'!$V:$V,'대치메가 9월 급여'!$R:$R,C34, '대치메가 9월 급여'!$A:$A, A34) + sumifs('대치메가 9월 급여'!$AA:$AA,'대치메가 9월 급여'!$W:$W,C34, '대치메가 9월 급여'!$A:$A, A34) + sumifs('대치메가 9월 급여'!$AF:$AF,'대치메가 9월 급여'!$AB:$AB,C34, '대치메가 9월 급여'!$A:$A, A34) + sumifs('대치메가 9월 급여'!$AK:$AK,'대치메가 9월 급여'!$AG:$AG,C34, '대치메가 9월 급여'!$A:$A, A34)</f>
        <v>42</v>
      </c>
      <c r="E34" s="118" t="str">
        <f t="shared" si="16"/>
        <v>O</v>
      </c>
      <c r="F34" s="119">
        <v>11030.0</v>
      </c>
      <c r="G34" s="120">
        <f t="shared" si="2"/>
        <v>463260</v>
      </c>
      <c r="H34" s="120">
        <f>if(E34="O", 40/40*8*F34, 0)</f>
        <v>88240</v>
      </c>
      <c r="I34" s="120">
        <f t="shared" si="4"/>
        <v>551500</v>
      </c>
      <c r="J34" s="127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</row>
    <row r="35">
      <c r="A35" s="141" t="s">
        <v>82</v>
      </c>
      <c r="B35" s="19">
        <v>4.0</v>
      </c>
      <c r="C35" s="116" t="s">
        <v>25</v>
      </c>
      <c r="D35" s="117">
        <f>sumifs('대치메가 9월 급여'!$G:$G, '대치메가 9월 급여'!$C:$C, C35, '대치메가 9월 급여'!$A:$A, A35) + sumifs('대치메가 9월 급여'!$L:$L,'대치메가 9월 급여'!$H:$H,C35, '대치메가 9월 급여'!$A:$A, A35) + sumifs('대치메가 9월 급여'!$Q:$Q,'대치메가 9월 급여'!$M:$M,C35, '대치메가 9월 급여'!$A:$A, A35) + sumifs('대치메가 9월 급여'!$V:$V,'대치메가 9월 급여'!$R:$R,C35, '대치메가 9월 급여'!$A:$A, A35) + sumifs('대치메가 9월 급여'!$AA:$AA,'대치메가 9월 급여'!$W:$W,C35, '대치메가 9월 급여'!$A:$A, A35) + sumifs('대치메가 9월 급여'!$AF:$AF,'대치메가 9월 급여'!$AB:$AB,C35, '대치메가 9월 급여'!$A:$A, A35) + sumifs('대치메가 9월 급여'!$AK:$AK,'대치메가 9월 급여'!$AG:$AG,C35, '대치메가 9월 급여'!$A:$A, A35)</f>
        <v>21</v>
      </c>
      <c r="E35" s="118" t="str">
        <f t="shared" si="16"/>
        <v>O</v>
      </c>
      <c r="F35" s="119">
        <v>10030.0</v>
      </c>
      <c r="G35" s="120">
        <f t="shared" si="2"/>
        <v>210630</v>
      </c>
      <c r="H35" s="120">
        <f>if(E35="O", 21/40*8*F35, 0)</f>
        <v>42126</v>
      </c>
      <c r="I35" s="120">
        <f t="shared" si="4"/>
        <v>252756</v>
      </c>
      <c r="J35" s="114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</row>
    <row r="36">
      <c r="A36" s="141" t="s">
        <v>82</v>
      </c>
      <c r="B36" s="19">
        <v>5.0</v>
      </c>
      <c r="C36" s="130" t="s">
        <v>30</v>
      </c>
      <c r="D36" s="117">
        <f>sumifs('대치메가 9월 급여'!$G:$G, '대치메가 9월 급여'!$C:$C, C36, '대치메가 9월 급여'!$A:$A, A36) + sumifs('대치메가 9월 급여'!$L:$L,'대치메가 9월 급여'!$H:$H,C36, '대치메가 9월 급여'!$A:$A, A36) + sumifs('대치메가 9월 급여'!$Q:$Q,'대치메가 9월 급여'!$M:$M,C36, '대치메가 9월 급여'!$A:$A, A36) + sumifs('대치메가 9월 급여'!$V:$V,'대치메가 9월 급여'!$R:$R,C36, '대치메가 9월 급여'!$A:$A, A36) + sumifs('대치메가 9월 급여'!$AA:$AA,'대치메가 9월 급여'!$W:$W,C36, '대치메가 9월 급여'!$A:$A, A36) + sumifs('대치메가 9월 급여'!$AF:$AF,'대치메가 9월 급여'!$AB:$AB,C36, '대치메가 9월 급여'!$A:$A, A36) + sumifs('대치메가 9월 급여'!$AK:$AK,'대치메가 9월 급여'!$AG:$AG,C36, '대치메가 9월 급여'!$A:$A, A36)</f>
        <v>16.5</v>
      </c>
      <c r="E36" s="131" t="s">
        <v>99</v>
      </c>
      <c r="F36" s="119">
        <v>11030.0</v>
      </c>
      <c r="G36" s="120">
        <f t="shared" si="2"/>
        <v>181995</v>
      </c>
      <c r="H36" s="120">
        <f t="shared" ref="H36:H38" si="18">if(E36="O", D36/40*8*F36, 0)</f>
        <v>0</v>
      </c>
      <c r="I36" s="120">
        <f t="shared" si="4"/>
        <v>181995</v>
      </c>
      <c r="J36" s="114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</row>
    <row r="37">
      <c r="A37" s="141" t="s">
        <v>82</v>
      </c>
      <c r="B37" s="19">
        <v>6.0</v>
      </c>
      <c r="C37" s="116" t="s">
        <v>36</v>
      </c>
      <c r="D37" s="117">
        <f>sumifs('대치메가 9월 급여'!$G:$G, '대치메가 9월 급여'!$C:$C, C37, '대치메가 9월 급여'!$A:$A, A37) + sumifs('대치메가 9월 급여'!$L:$L,'대치메가 9월 급여'!$H:$H,C37, '대치메가 9월 급여'!$A:$A, A37) + sumifs('대치메가 9월 급여'!$Q:$Q,'대치메가 9월 급여'!$M:$M,C37, '대치메가 9월 급여'!$A:$A, A37) + sumifs('대치메가 9월 급여'!$V:$V,'대치메가 9월 급여'!$R:$R,C37, '대치메가 9월 급여'!$A:$A, A37) + sumifs('대치메가 9월 급여'!$AA:$AA,'대치메가 9월 급여'!$W:$W,C37, '대치메가 9월 급여'!$A:$A, A37) + sumifs('대치메가 9월 급여'!$AF:$AF,'대치메가 9월 급여'!$AB:$AB,C37, '대치메가 9월 급여'!$A:$A, A37) + sumifs('대치메가 9월 급여'!$AK:$AK,'대치메가 9월 급여'!$AG:$AG,C37, '대치메가 9월 급여'!$A:$A, A37)</f>
        <v>8.5</v>
      </c>
      <c r="E37" s="118" t="str">
        <f t="shared" ref="E37:E65" si="19">if(D37 &gt;= 15, "O", "X")</f>
        <v>X</v>
      </c>
      <c r="F37" s="119">
        <v>11030.0</v>
      </c>
      <c r="G37" s="120">
        <f t="shared" si="2"/>
        <v>93755</v>
      </c>
      <c r="H37" s="120">
        <f t="shared" si="18"/>
        <v>0</v>
      </c>
      <c r="I37" s="120">
        <f t="shared" si="4"/>
        <v>93755</v>
      </c>
      <c r="J37" s="114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</row>
    <row r="38">
      <c r="A38" s="141" t="s">
        <v>82</v>
      </c>
      <c r="B38" s="19">
        <v>7.0</v>
      </c>
      <c r="C38" s="116" t="s">
        <v>41</v>
      </c>
      <c r="D38" s="117">
        <f>sumifs('대치메가 9월 급여'!$G:$G, '대치메가 9월 급여'!$C:$C, C38, '대치메가 9월 급여'!$A:$A, A38) + sumifs('대치메가 9월 급여'!$L:$L,'대치메가 9월 급여'!$H:$H,C38, '대치메가 9월 급여'!$A:$A, A38) + sumifs('대치메가 9월 급여'!$Q:$Q,'대치메가 9월 급여'!$M:$M,C38, '대치메가 9월 급여'!$A:$A, A38) + sumifs('대치메가 9월 급여'!$V:$V,'대치메가 9월 급여'!$R:$R,C38, '대치메가 9월 급여'!$A:$A, A38) + sumifs('대치메가 9월 급여'!$AA:$AA,'대치메가 9월 급여'!$W:$W,C38, '대치메가 9월 급여'!$A:$A, A38) + sumifs('대치메가 9월 급여'!$AF:$AF,'대치메가 9월 급여'!$AB:$AB,C38, '대치메가 9월 급여'!$A:$A, A38) + sumifs('대치메가 9월 급여'!$AK:$AK,'대치메가 9월 급여'!$AG:$AG,C38, '대치메가 9월 급여'!$A:$A, A38)</f>
        <v>19</v>
      </c>
      <c r="E38" s="118" t="str">
        <f t="shared" si="19"/>
        <v>O</v>
      </c>
      <c r="F38" s="119">
        <v>10030.0</v>
      </c>
      <c r="G38" s="120">
        <f t="shared" si="2"/>
        <v>190570</v>
      </c>
      <c r="H38" s="120">
        <f t="shared" si="18"/>
        <v>38114</v>
      </c>
      <c r="I38" s="120">
        <f t="shared" si="4"/>
        <v>228684</v>
      </c>
      <c r="J38" s="114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</row>
    <row r="39">
      <c r="A39" s="141" t="s">
        <v>82</v>
      </c>
      <c r="B39" s="19">
        <v>8.0</v>
      </c>
      <c r="C39" s="116" t="s">
        <v>45</v>
      </c>
      <c r="D39" s="136">
        <f>sumifs('대치메가 9월 급여'!$G:$G, '대치메가 9월 급여'!$C:$C, C39, '대치메가 9월 급여'!$A:$A, A39) + sumifs('대치메가 9월 급여'!$L:$L,'대치메가 9월 급여'!$H:$H,C39, '대치메가 9월 급여'!$A:$A, A39) + sumifs('대치메가 9월 급여'!$Q:$Q,'대치메가 9월 급여'!$M:$M,C39, '대치메가 9월 급여'!$A:$A, A39) + sumifs('대치메가 9월 급여'!$V:$V,'대치메가 9월 급여'!$R:$R,C39, '대치메가 9월 급여'!$A:$A, A39) + sumifs('대치메가 9월 급여'!$AA:$AA,'대치메가 9월 급여'!$W:$W,C39, '대치메가 9월 급여'!$A:$A, A39) + sumifs('대치메가 9월 급여'!$AF:$AF,'대치메가 9월 급여'!$AB:$AB,C39, '대치메가 9월 급여'!$A:$A, A39) + sumifs('대치메가 9월 급여'!$AK:$AK,'대치메가 9월 급여'!$AG:$AG,C39, '대치메가 9월 급여'!$A:$A, A39)</f>
        <v>17.75</v>
      </c>
      <c r="E39" s="118" t="str">
        <f t="shared" si="19"/>
        <v>O</v>
      </c>
      <c r="F39" s="119">
        <v>11030.0</v>
      </c>
      <c r="G39" s="120">
        <f t="shared" si="2"/>
        <v>195782.5</v>
      </c>
      <c r="H39" s="120">
        <f>if(E39="O", 17/40*8*F39, 0)</f>
        <v>37502</v>
      </c>
      <c r="I39" s="120">
        <f t="shared" si="4"/>
        <v>233284.5</v>
      </c>
      <c r="J39" s="114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</row>
    <row r="40">
      <c r="A40" s="141" t="s">
        <v>82</v>
      </c>
      <c r="B40" s="19">
        <v>9.0</v>
      </c>
      <c r="C40" s="116" t="s">
        <v>80</v>
      </c>
      <c r="D40" s="117">
        <f>sumifs('대치메가 9월 급여'!$G:$G, '대치메가 9월 급여'!$C:$C, C40, '대치메가 9월 급여'!$A:$A, A40) + sumifs('대치메가 9월 급여'!$L:$L,'대치메가 9월 급여'!$H:$H,C40, '대치메가 9월 급여'!$A:$A, A40) + sumifs('대치메가 9월 급여'!$Q:$Q,'대치메가 9월 급여'!$M:$M,C40, '대치메가 9월 급여'!$A:$A, A40) + sumifs('대치메가 9월 급여'!$V:$V,'대치메가 9월 급여'!$R:$R,C40, '대치메가 9월 급여'!$A:$A, A40) + sumifs('대치메가 9월 급여'!$AA:$AA,'대치메가 9월 급여'!$W:$W,C40, '대치메가 9월 급여'!$A:$A, A40) + sumifs('대치메가 9월 급여'!$AF:$AF,'대치메가 9월 급여'!$AB:$AB,C40, '대치메가 9월 급여'!$A:$A, A40) + sumifs('대치메가 9월 급여'!$AK:$AK,'대치메가 9월 급여'!$AG:$AG,C40, '대치메가 9월 급여'!$A:$A, A40)</f>
        <v>0</v>
      </c>
      <c r="E40" s="118" t="str">
        <f t="shared" si="19"/>
        <v>X</v>
      </c>
      <c r="F40" s="119">
        <v>11030.0</v>
      </c>
      <c r="G40" s="120">
        <f t="shared" si="2"/>
        <v>0</v>
      </c>
      <c r="H40" s="120">
        <f t="shared" ref="H40:H48" si="20">if(E40="O", D40/40*8*F40, 0)</f>
        <v>0</v>
      </c>
      <c r="I40" s="120">
        <f t="shared" si="4"/>
        <v>0</v>
      </c>
      <c r="J40" s="114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</row>
    <row r="41">
      <c r="A41" s="141" t="s">
        <v>82</v>
      </c>
      <c r="B41" s="19">
        <v>10.0</v>
      </c>
      <c r="C41" s="116"/>
      <c r="D41" s="117">
        <f>sumifs('대치메가 9월 급여'!$G:$G, '대치메가 9월 급여'!$C:$C, C41, '대치메가 9월 급여'!$A:$A, A41) + sumifs('대치메가 9월 급여'!$L:$L,'대치메가 9월 급여'!$H:$H,C41, '대치메가 9월 급여'!$A:$A, A41) + sumifs('대치메가 9월 급여'!$Q:$Q,'대치메가 9월 급여'!$M:$M,C41, '대치메가 9월 급여'!$A:$A, A41) + sumifs('대치메가 9월 급여'!$V:$V,'대치메가 9월 급여'!$R:$R,C41, '대치메가 9월 급여'!$A:$A, A41) + sumifs('대치메가 9월 급여'!$AA:$AA,'대치메가 9월 급여'!$W:$W,C41, '대치메가 9월 급여'!$A:$A, A41) + sumifs('대치메가 9월 급여'!$AF:$AF,'대치메가 9월 급여'!$AB:$AB,C41, '대치메가 9월 급여'!$A:$A, A41) + sumifs('대치메가 9월 급여'!$AK:$AK,'대치메가 9월 급여'!$AG:$AG,C41, '대치메가 9월 급여'!$A:$A, A41)</f>
        <v>0</v>
      </c>
      <c r="E41" s="118" t="str">
        <f t="shared" si="19"/>
        <v>X</v>
      </c>
      <c r="F41" s="119">
        <v>10030.0</v>
      </c>
      <c r="G41" s="120">
        <f t="shared" si="2"/>
        <v>0</v>
      </c>
      <c r="H41" s="120">
        <f t="shared" si="20"/>
        <v>0</v>
      </c>
      <c r="I41" s="120">
        <f t="shared" si="4"/>
        <v>0</v>
      </c>
      <c r="J41" s="114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</row>
    <row r="42">
      <c r="A42" s="141" t="s">
        <v>82</v>
      </c>
      <c r="B42" s="19">
        <v>11.0</v>
      </c>
      <c r="C42" s="30"/>
      <c r="D42" s="117">
        <f>sumifs('대치메가 9월 급여'!$G:$G, '대치메가 9월 급여'!$C:$C, C42, '대치메가 9월 급여'!$A:$A, A42) + sumifs('대치메가 9월 급여'!$L:$L,'대치메가 9월 급여'!$H:$H,C42, '대치메가 9월 급여'!$A:$A, A42) + sumifs('대치메가 9월 급여'!$Q:$Q,'대치메가 9월 급여'!$M:$M,C42, '대치메가 9월 급여'!$A:$A, A42) + sumifs('대치메가 9월 급여'!$V:$V,'대치메가 9월 급여'!$R:$R,C42, '대치메가 9월 급여'!$A:$A, A42) + sumifs('대치메가 9월 급여'!$AA:$AA,'대치메가 9월 급여'!$W:$W,C42, '대치메가 9월 급여'!$A:$A, A42) + sumifs('대치메가 9월 급여'!$AF:$AF,'대치메가 9월 급여'!$AB:$AB,C42, '대치메가 9월 급여'!$A:$A, A42) + sumifs('대치메가 9월 급여'!$AK:$AK,'대치메가 9월 급여'!$AG:$AG,C42, '대치메가 9월 급여'!$A:$A, A42)</f>
        <v>0</v>
      </c>
      <c r="E42" s="118" t="str">
        <f t="shared" si="19"/>
        <v>X</v>
      </c>
      <c r="F42" s="119">
        <v>10030.0</v>
      </c>
      <c r="G42" s="120">
        <f t="shared" si="2"/>
        <v>0</v>
      </c>
      <c r="H42" s="120">
        <f t="shared" si="20"/>
        <v>0</v>
      </c>
      <c r="I42" s="120">
        <f t="shared" si="4"/>
        <v>0</v>
      </c>
      <c r="J42" s="127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</row>
    <row r="43">
      <c r="A43" s="141" t="s">
        <v>82</v>
      </c>
      <c r="B43" s="19">
        <v>12.0</v>
      </c>
      <c r="C43" s="30"/>
      <c r="D43" s="117">
        <f>sumifs('대치메가 9월 급여'!$G:$G, '대치메가 9월 급여'!$C:$C, C43, '대치메가 9월 급여'!$A:$A, A43) + sumifs('대치메가 9월 급여'!$L:$L,'대치메가 9월 급여'!$H:$H,C43, '대치메가 9월 급여'!$A:$A, A43) + sumifs('대치메가 9월 급여'!$Q:$Q,'대치메가 9월 급여'!$M:$M,C43, '대치메가 9월 급여'!$A:$A, A43) + sumifs('대치메가 9월 급여'!$V:$V,'대치메가 9월 급여'!$R:$R,C43, '대치메가 9월 급여'!$A:$A, A43) + sumifs('대치메가 9월 급여'!$AA:$AA,'대치메가 9월 급여'!$W:$W,C43, '대치메가 9월 급여'!$A:$A, A43) + sumifs('대치메가 9월 급여'!$AF:$AF,'대치메가 9월 급여'!$AB:$AB,C43, '대치메가 9월 급여'!$A:$A, A43) + sumifs('대치메가 9월 급여'!$AK:$AK,'대치메가 9월 급여'!$AG:$AG,C43, '대치메가 9월 급여'!$A:$A, A43)</f>
        <v>0</v>
      </c>
      <c r="E43" s="118" t="str">
        <f t="shared" si="19"/>
        <v>X</v>
      </c>
      <c r="F43" s="119">
        <v>10030.0</v>
      </c>
      <c r="G43" s="120">
        <f t="shared" si="2"/>
        <v>0</v>
      </c>
      <c r="H43" s="120">
        <f t="shared" si="20"/>
        <v>0</v>
      </c>
      <c r="I43" s="120">
        <f t="shared" si="4"/>
        <v>0</v>
      </c>
      <c r="J43" s="114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</row>
    <row r="44">
      <c r="A44" s="141" t="s">
        <v>82</v>
      </c>
      <c r="B44" s="19">
        <v>13.0</v>
      </c>
      <c r="C44" s="30"/>
      <c r="D44" s="117">
        <f>sumifs('대치메가 9월 급여'!$G:$G, '대치메가 9월 급여'!$C:$C, C44, '대치메가 9월 급여'!$A:$A, A44) + sumifs('대치메가 9월 급여'!$L:$L,'대치메가 9월 급여'!$H:$H,C44, '대치메가 9월 급여'!$A:$A, A44) + sumifs('대치메가 9월 급여'!$Q:$Q,'대치메가 9월 급여'!$M:$M,C44, '대치메가 9월 급여'!$A:$A, A44) + sumifs('대치메가 9월 급여'!$V:$V,'대치메가 9월 급여'!$R:$R,C44, '대치메가 9월 급여'!$A:$A, A44) + sumifs('대치메가 9월 급여'!$AA:$AA,'대치메가 9월 급여'!$W:$W,C44, '대치메가 9월 급여'!$A:$A, A44) + sumifs('대치메가 9월 급여'!$AF:$AF,'대치메가 9월 급여'!$AB:$AB,C44, '대치메가 9월 급여'!$A:$A, A44) + sumifs('대치메가 9월 급여'!$AK:$AK,'대치메가 9월 급여'!$AG:$AG,C44, '대치메가 9월 급여'!$A:$A, A44)</f>
        <v>0</v>
      </c>
      <c r="E44" s="118" t="str">
        <f t="shared" si="19"/>
        <v>X</v>
      </c>
      <c r="F44" s="119">
        <v>10030.0</v>
      </c>
      <c r="G44" s="120">
        <f t="shared" si="2"/>
        <v>0</v>
      </c>
      <c r="H44" s="120">
        <f t="shared" si="20"/>
        <v>0</v>
      </c>
      <c r="I44" s="120">
        <f t="shared" si="4"/>
        <v>0</v>
      </c>
      <c r="J44" s="114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</row>
    <row r="45">
      <c r="A45" s="141" t="s">
        <v>82</v>
      </c>
      <c r="B45" s="19">
        <v>14.0</v>
      </c>
      <c r="C45" s="96"/>
      <c r="D45" s="117">
        <f>sumifs('대치메가 9월 급여'!$G:$G, '대치메가 9월 급여'!$C:$C, C45, '대치메가 9월 급여'!$A:$A, A45) + sumifs('대치메가 9월 급여'!$L:$L,'대치메가 9월 급여'!$H:$H,C45, '대치메가 9월 급여'!$A:$A, A45) + sumifs('대치메가 9월 급여'!$Q:$Q,'대치메가 9월 급여'!$M:$M,C45, '대치메가 9월 급여'!$A:$A, A45) + sumifs('대치메가 9월 급여'!$V:$V,'대치메가 9월 급여'!$R:$R,C45, '대치메가 9월 급여'!$A:$A, A45) + sumifs('대치메가 9월 급여'!$AA:$AA,'대치메가 9월 급여'!$W:$W,C45, '대치메가 9월 급여'!$A:$A, A45) + sumifs('대치메가 9월 급여'!$AF:$AF,'대치메가 9월 급여'!$AB:$AB,C45, '대치메가 9월 급여'!$A:$A, A45) + sumifs('대치메가 9월 급여'!$AK:$AK,'대치메가 9월 급여'!$AG:$AG,C45, '대치메가 9월 급여'!$A:$A, A45)</f>
        <v>0</v>
      </c>
      <c r="E45" s="118" t="str">
        <f t="shared" si="19"/>
        <v>X</v>
      </c>
      <c r="F45" s="119">
        <v>10030.0</v>
      </c>
      <c r="G45" s="120">
        <f t="shared" si="2"/>
        <v>0</v>
      </c>
      <c r="H45" s="120">
        <f t="shared" si="20"/>
        <v>0</v>
      </c>
      <c r="I45" s="120">
        <f t="shared" si="4"/>
        <v>0</v>
      </c>
      <c r="J45" s="114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</row>
    <row r="46">
      <c r="A46" s="141" t="s">
        <v>82</v>
      </c>
      <c r="B46" s="19">
        <v>15.0</v>
      </c>
      <c r="C46" s="96"/>
      <c r="D46" s="117">
        <f>sumifs('대치메가 9월 급여'!$G:$G, '대치메가 9월 급여'!$C:$C, C46, '대치메가 9월 급여'!$A:$A, A46) + sumifs('대치메가 9월 급여'!$L:$L,'대치메가 9월 급여'!$H:$H,C46, '대치메가 9월 급여'!$A:$A, A46) + sumifs('대치메가 9월 급여'!$Q:$Q,'대치메가 9월 급여'!$M:$M,C46, '대치메가 9월 급여'!$A:$A, A46) + sumifs('대치메가 9월 급여'!$V:$V,'대치메가 9월 급여'!$R:$R,C46, '대치메가 9월 급여'!$A:$A, A46) + sumifs('대치메가 9월 급여'!$AA:$AA,'대치메가 9월 급여'!$W:$W,C46, '대치메가 9월 급여'!$A:$A, A46) + sumifs('대치메가 9월 급여'!$AF:$AF,'대치메가 9월 급여'!$AB:$AB,C46, '대치메가 9월 급여'!$A:$A, A46) + sumifs('대치메가 9월 급여'!$AK:$AK,'대치메가 9월 급여'!$AG:$AG,C46, '대치메가 9월 급여'!$A:$A, A46)</f>
        <v>0</v>
      </c>
      <c r="E46" s="118" t="str">
        <f t="shared" si="19"/>
        <v>X</v>
      </c>
      <c r="F46" s="119">
        <v>10030.0</v>
      </c>
      <c r="G46" s="120">
        <f t="shared" si="2"/>
        <v>0</v>
      </c>
      <c r="H46" s="120">
        <f t="shared" si="20"/>
        <v>0</v>
      </c>
      <c r="I46" s="120">
        <f t="shared" si="4"/>
        <v>0</v>
      </c>
      <c r="J46" s="114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</row>
    <row r="47">
      <c r="A47" s="39" t="s">
        <v>83</v>
      </c>
      <c r="B47" s="19">
        <v>1.0</v>
      </c>
      <c r="C47" s="116" t="s">
        <v>79</v>
      </c>
      <c r="D47" s="117">
        <f>sumifs('대치메가 9월 급여'!$G:$G, '대치메가 9월 급여'!$C:$C, C47, '대치메가 9월 급여'!$A:$A, A47) + sumifs('대치메가 9월 급여'!$L:$L,'대치메가 9월 급여'!$H:$H,C47, '대치메가 9월 급여'!$A:$A, A47) + sumifs('대치메가 9월 급여'!$Q:$Q,'대치메가 9월 급여'!$M:$M,C47, '대치메가 9월 급여'!$A:$A, A47) + sumifs('대치메가 9월 급여'!$V:$V,'대치메가 9월 급여'!$R:$R,C47, '대치메가 9월 급여'!$A:$A, A47) + sumifs('대치메가 9월 급여'!$AA:$AA,'대치메가 9월 급여'!$W:$W,C47, '대치메가 9월 급여'!$A:$A, A47) + sumifs('대치메가 9월 급여'!$AF:$AF,'대치메가 9월 급여'!$AB:$AB,C47, '대치메가 9월 급여'!$A:$A, A47) + sumifs('대치메가 9월 급여'!$AK:$AK,'대치메가 9월 급여'!$AG:$AG,C47, '대치메가 9월 급여'!$A:$A, A47)</f>
        <v>42.5</v>
      </c>
      <c r="E47" s="118" t="str">
        <f t="shared" si="19"/>
        <v>O</v>
      </c>
      <c r="F47" s="119">
        <v>10030.0</v>
      </c>
      <c r="G47" s="120">
        <f t="shared" si="2"/>
        <v>426275</v>
      </c>
      <c r="H47" s="120">
        <f t="shared" si="20"/>
        <v>85255</v>
      </c>
      <c r="I47" s="120">
        <f t="shared" si="4"/>
        <v>511530</v>
      </c>
      <c r="J47" s="114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</row>
    <row r="48">
      <c r="A48" s="39" t="s">
        <v>83</v>
      </c>
      <c r="B48" s="19">
        <v>2.0</v>
      </c>
      <c r="C48" s="116" t="s">
        <v>16</v>
      </c>
      <c r="D48" s="117">
        <f>sumifs('대치메가 9월 급여'!$G:$G, '대치메가 9월 급여'!$C:$C, C48, '대치메가 9월 급여'!$A:$A, A48) + sumifs('대치메가 9월 급여'!$L:$L,'대치메가 9월 급여'!$H:$H,C48, '대치메가 9월 급여'!$A:$A, A48) + sumifs('대치메가 9월 급여'!$Q:$Q,'대치메가 9월 급여'!$M:$M,C48, '대치메가 9월 급여'!$A:$A, A48) + sumifs('대치메가 9월 급여'!$V:$V,'대치메가 9월 급여'!$R:$R,C48, '대치메가 9월 급여'!$A:$A, A48) + sumifs('대치메가 9월 급여'!$AA:$AA,'대치메가 9월 급여'!$W:$W,C48, '대치메가 9월 급여'!$A:$A, A48) + sumifs('대치메가 9월 급여'!$AF:$AF,'대치메가 9월 급여'!$AB:$AB,C48, '대치메가 9월 급여'!$A:$A, A48) + sumifs('대치메가 9월 급여'!$AK:$AK,'대치메가 9월 급여'!$AG:$AG,C48, '대치메가 9월 급여'!$A:$A, A48)</f>
        <v>7</v>
      </c>
      <c r="E48" s="118" t="str">
        <f t="shared" si="19"/>
        <v>X</v>
      </c>
      <c r="F48" s="119">
        <v>10030.0</v>
      </c>
      <c r="G48" s="120">
        <f t="shared" si="2"/>
        <v>70210</v>
      </c>
      <c r="H48" s="120">
        <f t="shared" si="20"/>
        <v>0</v>
      </c>
      <c r="I48" s="120">
        <f t="shared" si="4"/>
        <v>70210</v>
      </c>
      <c r="J48" s="127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</row>
    <row r="49">
      <c r="A49" s="39" t="s">
        <v>83</v>
      </c>
      <c r="B49" s="19">
        <v>3.0</v>
      </c>
      <c r="C49" s="116" t="s">
        <v>20</v>
      </c>
      <c r="D49" s="117">
        <f>sumifs('대치메가 9월 급여'!$G:$G, '대치메가 9월 급여'!$C:$C, C49, '대치메가 9월 급여'!$A:$A, A49) + sumifs('대치메가 9월 급여'!$L:$L,'대치메가 9월 급여'!$H:$H,C49, '대치메가 9월 급여'!$A:$A, A49) + sumifs('대치메가 9월 급여'!$Q:$Q,'대치메가 9월 급여'!$M:$M,C49, '대치메가 9월 급여'!$A:$A, A49) + sumifs('대치메가 9월 급여'!$V:$V,'대치메가 9월 급여'!$R:$R,C49, '대치메가 9월 급여'!$A:$A, A49) + sumifs('대치메가 9월 급여'!$AA:$AA,'대치메가 9월 급여'!$W:$W,C49, '대치메가 9월 급여'!$A:$A, A49) + sumifs('대치메가 9월 급여'!$AF:$AF,'대치메가 9월 급여'!$AB:$AB,C49, '대치메가 9월 급여'!$A:$A, A49) + sumifs('대치메가 9월 급여'!$AK:$AK,'대치메가 9월 급여'!$AG:$AG,C49, '대치메가 9월 급여'!$A:$A, A49)</f>
        <v>42</v>
      </c>
      <c r="E49" s="118" t="str">
        <f t="shared" si="19"/>
        <v>O</v>
      </c>
      <c r="F49" s="119">
        <v>11030.0</v>
      </c>
      <c r="G49" s="120">
        <f t="shared" si="2"/>
        <v>463260</v>
      </c>
      <c r="H49" s="120">
        <f>if(E49="O", 40/40*8*F49, 0)</f>
        <v>88240</v>
      </c>
      <c r="I49" s="120">
        <f t="shared" si="4"/>
        <v>551500</v>
      </c>
      <c r="J49" s="127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</row>
    <row r="50">
      <c r="A50" s="39" t="s">
        <v>83</v>
      </c>
      <c r="B50" s="19">
        <v>4.0</v>
      </c>
      <c r="C50" s="116" t="s">
        <v>25</v>
      </c>
      <c r="D50" s="117">
        <f>sumifs('대치메가 9월 급여'!$G:$G, '대치메가 9월 급여'!$C:$C, C50, '대치메가 9월 급여'!$A:$A, A50) + sumifs('대치메가 9월 급여'!$L:$L,'대치메가 9월 급여'!$H:$H,C50, '대치메가 9월 급여'!$A:$A, A50) + sumifs('대치메가 9월 급여'!$Q:$Q,'대치메가 9월 급여'!$M:$M,C50, '대치메가 9월 급여'!$A:$A, A50) + sumifs('대치메가 9월 급여'!$V:$V,'대치메가 9월 급여'!$R:$R,C50, '대치메가 9월 급여'!$A:$A, A50) + sumifs('대치메가 9월 급여'!$AA:$AA,'대치메가 9월 급여'!$W:$W,C50, '대치메가 9월 급여'!$A:$A, A50) + sumifs('대치메가 9월 급여'!$AF:$AF,'대치메가 9월 급여'!$AB:$AB,C50, '대치메가 9월 급여'!$A:$A, A50) + sumifs('대치메가 9월 급여'!$AK:$AK,'대치메가 9월 급여'!$AG:$AG,C50, '대치메가 9월 급여'!$A:$A, A50)</f>
        <v>21</v>
      </c>
      <c r="E50" s="118" t="str">
        <f t="shared" si="19"/>
        <v>O</v>
      </c>
      <c r="F50" s="119">
        <v>10030.0</v>
      </c>
      <c r="G50" s="120">
        <f t="shared" si="2"/>
        <v>210630</v>
      </c>
      <c r="H50" s="120">
        <f>if(E50="O", 21/40*8*F50, 0)</f>
        <v>42126</v>
      </c>
      <c r="I50" s="120">
        <f t="shared" si="4"/>
        <v>252756</v>
      </c>
      <c r="J50" s="114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</row>
    <row r="51">
      <c r="A51" s="39" t="s">
        <v>83</v>
      </c>
      <c r="B51" s="19">
        <v>5.0</v>
      </c>
      <c r="C51" s="130" t="s">
        <v>30</v>
      </c>
      <c r="D51" s="117">
        <f>sumifs('대치메가 9월 급여'!$G:$G, '대치메가 9월 급여'!$C:$C, C51, '대치메가 9월 급여'!$A:$A, A51) + sumifs('대치메가 9월 급여'!$L:$L,'대치메가 9월 급여'!$H:$H,C51, '대치메가 9월 급여'!$A:$A, A51) + sumifs('대치메가 9월 급여'!$Q:$Q,'대치메가 9월 급여'!$M:$M,C51, '대치메가 9월 급여'!$A:$A, A51) + sumifs('대치메가 9월 급여'!$V:$V,'대치메가 9월 급여'!$R:$R,C51, '대치메가 9월 급여'!$A:$A, A51) + sumifs('대치메가 9월 급여'!$AA:$AA,'대치메가 9월 급여'!$W:$W,C51, '대치메가 9월 급여'!$A:$A, A51) + sumifs('대치메가 9월 급여'!$AF:$AF,'대치메가 9월 급여'!$AB:$AB,C51, '대치메가 9월 급여'!$A:$A, A51) + sumifs('대치메가 9월 급여'!$AK:$AK,'대치메가 9월 급여'!$AG:$AG,C51, '대치메가 9월 급여'!$A:$A, A51)</f>
        <v>13.5</v>
      </c>
      <c r="E51" s="118" t="str">
        <f t="shared" si="19"/>
        <v>X</v>
      </c>
      <c r="F51" s="119">
        <v>11030.0</v>
      </c>
      <c r="G51" s="120">
        <f t="shared" si="2"/>
        <v>148905</v>
      </c>
      <c r="H51" s="120">
        <f t="shared" ref="H51:H53" si="21">if(E51="O", D51/40*8*F51, 0)</f>
        <v>0</v>
      </c>
      <c r="I51" s="120">
        <f t="shared" si="4"/>
        <v>148905</v>
      </c>
      <c r="J51" s="114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</row>
    <row r="52">
      <c r="A52" s="39" t="s">
        <v>83</v>
      </c>
      <c r="B52" s="19">
        <v>6.0</v>
      </c>
      <c r="C52" s="116" t="s">
        <v>36</v>
      </c>
      <c r="D52" s="117">
        <f>sumifs('대치메가 9월 급여'!$G:$G, '대치메가 9월 급여'!$C:$C, C52, '대치메가 9월 급여'!$A:$A, A52) + sumifs('대치메가 9월 급여'!$L:$L,'대치메가 9월 급여'!$H:$H,C52, '대치메가 9월 급여'!$A:$A, A52) + sumifs('대치메가 9월 급여'!$Q:$Q,'대치메가 9월 급여'!$M:$M,C52, '대치메가 9월 급여'!$A:$A, A52) + sumifs('대치메가 9월 급여'!$V:$V,'대치메가 9월 급여'!$R:$R,C52, '대치메가 9월 급여'!$A:$A, A52) + sumifs('대치메가 9월 급여'!$AA:$AA,'대치메가 9월 급여'!$W:$W,C52, '대치메가 9월 급여'!$A:$A, A52) + sumifs('대치메가 9월 급여'!$AF:$AF,'대치메가 9월 급여'!$AB:$AB,C52, '대치메가 9월 급여'!$A:$A, A52) + sumifs('대치메가 9월 급여'!$AK:$AK,'대치메가 9월 급여'!$AG:$AG,C52, '대치메가 9월 급여'!$A:$A, A52)</f>
        <v>12.5</v>
      </c>
      <c r="E52" s="118" t="str">
        <f t="shared" si="19"/>
        <v>X</v>
      </c>
      <c r="F52" s="119">
        <v>11030.0</v>
      </c>
      <c r="G52" s="120">
        <f t="shared" si="2"/>
        <v>137875</v>
      </c>
      <c r="H52" s="120">
        <f t="shared" si="21"/>
        <v>0</v>
      </c>
      <c r="I52" s="120">
        <f t="shared" si="4"/>
        <v>137875</v>
      </c>
      <c r="J52" s="145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</row>
    <row r="53">
      <c r="A53" s="39" t="s">
        <v>83</v>
      </c>
      <c r="B53" s="19">
        <v>7.0</v>
      </c>
      <c r="C53" s="116" t="s">
        <v>41</v>
      </c>
      <c r="D53" s="117">
        <f>sumifs('대치메가 9월 급여'!$G:$G, '대치메가 9월 급여'!$C:$C, C53, '대치메가 9월 급여'!$A:$A, A53) + sumifs('대치메가 9월 급여'!$L:$L,'대치메가 9월 급여'!$H:$H,C53, '대치메가 9월 급여'!$A:$A, A53) + sumifs('대치메가 9월 급여'!$Q:$Q,'대치메가 9월 급여'!$M:$M,C53, '대치메가 9월 급여'!$A:$A, A53) + sumifs('대치메가 9월 급여'!$V:$V,'대치메가 9월 급여'!$R:$R,C53, '대치메가 9월 급여'!$A:$A, A53) + sumifs('대치메가 9월 급여'!$AA:$AA,'대치메가 9월 급여'!$W:$W,C53, '대치메가 9월 급여'!$A:$A, A53) + sumifs('대치메가 9월 급여'!$AF:$AF,'대치메가 9월 급여'!$AB:$AB,C53, '대치메가 9월 급여'!$A:$A, A53) + sumifs('대치메가 9월 급여'!$AK:$AK,'대치메가 9월 급여'!$AG:$AG,C53, '대치메가 9월 급여'!$A:$A, A53)</f>
        <v>14</v>
      </c>
      <c r="E53" s="118" t="str">
        <f t="shared" si="19"/>
        <v>X</v>
      </c>
      <c r="F53" s="119">
        <v>10030.0</v>
      </c>
      <c r="G53" s="120">
        <f t="shared" si="2"/>
        <v>140420</v>
      </c>
      <c r="H53" s="120">
        <f t="shared" si="21"/>
        <v>0</v>
      </c>
      <c r="I53" s="120">
        <f t="shared" si="4"/>
        <v>140420</v>
      </c>
      <c r="J53" s="127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</row>
    <row r="54">
      <c r="A54" s="39" t="s">
        <v>83</v>
      </c>
      <c r="B54" s="19">
        <v>8.0</v>
      </c>
      <c r="C54" s="116" t="s">
        <v>45</v>
      </c>
      <c r="D54" s="136">
        <f>sumifs('대치메가 9월 급여'!$G:$G, '대치메가 9월 급여'!$C:$C, C54, '대치메가 9월 급여'!$A:$A, A54) + sumifs('대치메가 9월 급여'!$L:$L,'대치메가 9월 급여'!$H:$H,C54, '대치메가 9월 급여'!$A:$A, A54) + sumifs('대치메가 9월 급여'!$Q:$Q,'대치메가 9월 급여'!$M:$M,C54, '대치메가 9월 급여'!$A:$A, A54) + sumifs('대치메가 9월 급여'!$V:$V,'대치메가 9월 급여'!$R:$R,C54, '대치메가 9월 급여'!$A:$A, A54) + sumifs('대치메가 9월 급여'!$AA:$AA,'대치메가 9월 급여'!$W:$W,C54, '대치메가 9월 급여'!$A:$A, A54) + sumifs('대치메가 9월 급여'!$AF:$AF,'대치메가 9월 급여'!$AB:$AB,C54, '대치메가 9월 급여'!$A:$A, A54) + sumifs('대치메가 9월 급여'!$AK:$AK,'대치메가 9월 급여'!$AG:$AG,C54, '대치메가 9월 급여'!$A:$A, A54)</f>
        <v>17.75</v>
      </c>
      <c r="E54" s="118" t="str">
        <f t="shared" si="19"/>
        <v>O</v>
      </c>
      <c r="F54" s="119">
        <v>11030.0</v>
      </c>
      <c r="G54" s="120">
        <f t="shared" si="2"/>
        <v>195782.5</v>
      </c>
      <c r="H54" s="120">
        <f>if(E54="O", 17/40*8*F54, 0)</f>
        <v>37502</v>
      </c>
      <c r="I54" s="120">
        <f t="shared" si="4"/>
        <v>233284.5</v>
      </c>
      <c r="J54" s="114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</row>
    <row r="55">
      <c r="A55" s="39" t="s">
        <v>83</v>
      </c>
      <c r="B55" s="19">
        <v>9.0</v>
      </c>
      <c r="C55" s="116" t="s">
        <v>80</v>
      </c>
      <c r="D55" s="117">
        <f>sumifs('대치메가 9월 급여'!$G:$G, '대치메가 9월 급여'!$C:$C, C55, '대치메가 9월 급여'!$A:$A, A55) + sumifs('대치메가 9월 급여'!$L:$L,'대치메가 9월 급여'!$H:$H,C55, '대치메가 9월 급여'!$A:$A, A55) + sumifs('대치메가 9월 급여'!$Q:$Q,'대치메가 9월 급여'!$M:$M,C55, '대치메가 9월 급여'!$A:$A, A55) + sumifs('대치메가 9월 급여'!$V:$V,'대치메가 9월 급여'!$R:$R,C55, '대치메가 9월 급여'!$A:$A, A55) + sumifs('대치메가 9월 급여'!$AA:$AA,'대치메가 9월 급여'!$W:$W,C55, '대치메가 9월 급여'!$A:$A, A55) + sumifs('대치메가 9월 급여'!$AF:$AF,'대치메가 9월 급여'!$AB:$AB,C55, '대치메가 9월 급여'!$A:$A, A55) + sumifs('대치메가 9월 급여'!$AK:$AK,'대치메가 9월 급여'!$AG:$AG,C55, '대치메가 9월 급여'!$A:$A, A55)</f>
        <v>5</v>
      </c>
      <c r="E55" s="118" t="str">
        <f t="shared" si="19"/>
        <v>X</v>
      </c>
      <c r="F55" s="119">
        <v>10030.0</v>
      </c>
      <c r="G55" s="120">
        <f t="shared" si="2"/>
        <v>50150</v>
      </c>
      <c r="H55" s="120">
        <f t="shared" ref="H55:H63" si="22">if(E55="O", D55/40*8*F55, 0)</f>
        <v>0</v>
      </c>
      <c r="I55" s="120">
        <f t="shared" si="4"/>
        <v>50150</v>
      </c>
      <c r="J55" s="114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</row>
    <row r="56">
      <c r="A56" s="39" t="s">
        <v>83</v>
      </c>
      <c r="B56" s="19">
        <v>10.0</v>
      </c>
      <c r="C56" s="116"/>
      <c r="D56" s="117">
        <f>sumifs('대치메가 9월 급여'!$G:$G, '대치메가 9월 급여'!$C:$C, C56, '대치메가 9월 급여'!$A:$A, A56) + sumifs('대치메가 9월 급여'!$L:$L,'대치메가 9월 급여'!$H:$H,C56, '대치메가 9월 급여'!$A:$A, A56) + sumifs('대치메가 9월 급여'!$Q:$Q,'대치메가 9월 급여'!$M:$M,C56, '대치메가 9월 급여'!$A:$A, A56) + sumifs('대치메가 9월 급여'!$V:$V,'대치메가 9월 급여'!$R:$R,C56, '대치메가 9월 급여'!$A:$A, A56) + sumifs('대치메가 9월 급여'!$AA:$AA,'대치메가 9월 급여'!$W:$W,C56, '대치메가 9월 급여'!$A:$A, A56) + sumifs('대치메가 9월 급여'!$AF:$AF,'대치메가 9월 급여'!$AB:$AB,C56, '대치메가 9월 급여'!$A:$A, A56) + sumifs('대치메가 9월 급여'!$AK:$AK,'대치메가 9월 급여'!$AG:$AG,C56, '대치메가 9월 급여'!$A:$A, A56)</f>
        <v>0</v>
      </c>
      <c r="E56" s="118" t="str">
        <f t="shared" si="19"/>
        <v>X</v>
      </c>
      <c r="F56" s="119">
        <v>10030.0</v>
      </c>
      <c r="G56" s="120">
        <f t="shared" si="2"/>
        <v>0</v>
      </c>
      <c r="H56" s="120">
        <f t="shared" si="22"/>
        <v>0</v>
      </c>
      <c r="I56" s="120">
        <f t="shared" si="4"/>
        <v>0</v>
      </c>
      <c r="J56" s="127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</row>
    <row r="57">
      <c r="A57" s="39" t="s">
        <v>83</v>
      </c>
      <c r="B57" s="19">
        <v>11.0</v>
      </c>
      <c r="C57" s="30"/>
      <c r="D57" s="117">
        <f>sumifs('대치메가 9월 급여'!$G:$G, '대치메가 9월 급여'!$C:$C, C57, '대치메가 9월 급여'!$A:$A, A57) + sumifs('대치메가 9월 급여'!$L:$L,'대치메가 9월 급여'!$H:$H,C57, '대치메가 9월 급여'!$A:$A, A57) + sumifs('대치메가 9월 급여'!$Q:$Q,'대치메가 9월 급여'!$M:$M,C57, '대치메가 9월 급여'!$A:$A, A57) + sumifs('대치메가 9월 급여'!$V:$V,'대치메가 9월 급여'!$R:$R,C57, '대치메가 9월 급여'!$A:$A, A57) + sumifs('대치메가 9월 급여'!$AA:$AA,'대치메가 9월 급여'!$W:$W,C57, '대치메가 9월 급여'!$A:$A, A57) + sumifs('대치메가 9월 급여'!$AF:$AF,'대치메가 9월 급여'!$AB:$AB,C57, '대치메가 9월 급여'!$A:$A, A57) + sumifs('대치메가 9월 급여'!$AK:$AK,'대치메가 9월 급여'!$AG:$AG,C57, '대치메가 9월 급여'!$A:$A, A57)</f>
        <v>0</v>
      </c>
      <c r="E57" s="118" t="str">
        <f t="shared" si="19"/>
        <v>X</v>
      </c>
      <c r="F57" s="119">
        <v>10030.0</v>
      </c>
      <c r="G57" s="120">
        <f t="shared" si="2"/>
        <v>0</v>
      </c>
      <c r="H57" s="120">
        <f t="shared" si="22"/>
        <v>0</v>
      </c>
      <c r="I57" s="120">
        <f t="shared" si="4"/>
        <v>0</v>
      </c>
      <c r="J57" s="127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</row>
    <row r="58">
      <c r="A58" s="39" t="s">
        <v>83</v>
      </c>
      <c r="B58" s="19">
        <v>12.0</v>
      </c>
      <c r="C58" s="30"/>
      <c r="D58" s="117">
        <f>sumifs('대치메가 9월 급여'!$G:$G, '대치메가 9월 급여'!$C:$C, C58, '대치메가 9월 급여'!$A:$A, A58) + sumifs('대치메가 9월 급여'!$L:$L,'대치메가 9월 급여'!$H:$H,C58, '대치메가 9월 급여'!$A:$A, A58) + sumifs('대치메가 9월 급여'!$Q:$Q,'대치메가 9월 급여'!$M:$M,C58, '대치메가 9월 급여'!$A:$A, A58) + sumifs('대치메가 9월 급여'!$V:$V,'대치메가 9월 급여'!$R:$R,C58, '대치메가 9월 급여'!$A:$A, A58) + sumifs('대치메가 9월 급여'!$AA:$AA,'대치메가 9월 급여'!$W:$W,C58, '대치메가 9월 급여'!$A:$A, A58) + sumifs('대치메가 9월 급여'!$AF:$AF,'대치메가 9월 급여'!$AB:$AB,C58, '대치메가 9월 급여'!$A:$A, A58) + sumifs('대치메가 9월 급여'!$AK:$AK,'대치메가 9월 급여'!$AG:$AG,C58, '대치메가 9월 급여'!$A:$A, A58)</f>
        <v>0</v>
      </c>
      <c r="E58" s="118" t="str">
        <f t="shared" si="19"/>
        <v>X</v>
      </c>
      <c r="F58" s="119">
        <v>10030.0</v>
      </c>
      <c r="G58" s="120">
        <f t="shared" si="2"/>
        <v>0</v>
      </c>
      <c r="H58" s="120">
        <f t="shared" si="22"/>
        <v>0</v>
      </c>
      <c r="I58" s="120">
        <f t="shared" si="4"/>
        <v>0</v>
      </c>
      <c r="J58" s="114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</row>
    <row r="59">
      <c r="A59" s="39" t="s">
        <v>83</v>
      </c>
      <c r="B59" s="19">
        <v>13.0</v>
      </c>
      <c r="C59" s="30"/>
      <c r="D59" s="117">
        <f>sumifs('대치메가 9월 급여'!$G:$G, '대치메가 9월 급여'!$C:$C, C59, '대치메가 9월 급여'!$A:$A, A59) + sumifs('대치메가 9월 급여'!$L:$L,'대치메가 9월 급여'!$H:$H,C59, '대치메가 9월 급여'!$A:$A, A59) + sumifs('대치메가 9월 급여'!$Q:$Q,'대치메가 9월 급여'!$M:$M,C59, '대치메가 9월 급여'!$A:$A, A59) + sumifs('대치메가 9월 급여'!$V:$V,'대치메가 9월 급여'!$R:$R,C59, '대치메가 9월 급여'!$A:$A, A59) + sumifs('대치메가 9월 급여'!$AA:$AA,'대치메가 9월 급여'!$W:$W,C59, '대치메가 9월 급여'!$A:$A, A59) + sumifs('대치메가 9월 급여'!$AF:$AF,'대치메가 9월 급여'!$AB:$AB,C59, '대치메가 9월 급여'!$A:$A, A59) + sumifs('대치메가 9월 급여'!$AK:$AK,'대치메가 9월 급여'!$AG:$AG,C59, '대치메가 9월 급여'!$A:$A, A59)</f>
        <v>0</v>
      </c>
      <c r="E59" s="118" t="str">
        <f t="shared" si="19"/>
        <v>X</v>
      </c>
      <c r="F59" s="119">
        <v>10030.0</v>
      </c>
      <c r="G59" s="120">
        <f t="shared" si="2"/>
        <v>0</v>
      </c>
      <c r="H59" s="120">
        <f t="shared" si="22"/>
        <v>0</v>
      </c>
      <c r="I59" s="120">
        <f t="shared" si="4"/>
        <v>0</v>
      </c>
      <c r="J59" s="114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</row>
    <row r="60">
      <c r="A60" s="39" t="s">
        <v>83</v>
      </c>
      <c r="B60" s="19">
        <v>14.0</v>
      </c>
      <c r="C60" s="96"/>
      <c r="D60" s="117">
        <f>sumifs('대치메가 9월 급여'!$G:$G, '대치메가 9월 급여'!$C:$C, C60, '대치메가 9월 급여'!$A:$A, A60) + sumifs('대치메가 9월 급여'!$L:$L,'대치메가 9월 급여'!$H:$H,C60, '대치메가 9월 급여'!$A:$A, A60) + sumifs('대치메가 9월 급여'!$Q:$Q,'대치메가 9월 급여'!$M:$M,C60, '대치메가 9월 급여'!$A:$A, A60) + sumifs('대치메가 9월 급여'!$V:$V,'대치메가 9월 급여'!$R:$R,C60, '대치메가 9월 급여'!$A:$A, A60) + sumifs('대치메가 9월 급여'!$AA:$AA,'대치메가 9월 급여'!$W:$W,C60, '대치메가 9월 급여'!$A:$A, A60) + sumifs('대치메가 9월 급여'!$AF:$AF,'대치메가 9월 급여'!$AB:$AB,C60, '대치메가 9월 급여'!$A:$A, A60) + sumifs('대치메가 9월 급여'!$AK:$AK,'대치메가 9월 급여'!$AG:$AG,C60, '대치메가 9월 급여'!$A:$A, A60)</f>
        <v>0</v>
      </c>
      <c r="E60" s="118" t="str">
        <f t="shared" si="19"/>
        <v>X</v>
      </c>
      <c r="F60" s="119">
        <v>10030.0</v>
      </c>
      <c r="G60" s="120">
        <f t="shared" si="2"/>
        <v>0</v>
      </c>
      <c r="H60" s="120">
        <f t="shared" si="22"/>
        <v>0</v>
      </c>
      <c r="I60" s="120">
        <f t="shared" si="4"/>
        <v>0</v>
      </c>
      <c r="J60" s="114"/>
      <c r="K60" s="146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</row>
    <row r="61">
      <c r="A61" s="39" t="s">
        <v>83</v>
      </c>
      <c r="B61" s="19">
        <v>15.0</v>
      </c>
      <c r="C61" s="96"/>
      <c r="D61" s="117">
        <f>sumifs('대치메가 9월 급여'!$G:$G, '대치메가 9월 급여'!$C:$C, C61, '대치메가 9월 급여'!$A:$A, A61) + sumifs('대치메가 9월 급여'!$L:$L,'대치메가 9월 급여'!$H:$H,C61, '대치메가 9월 급여'!$A:$A, A61) + sumifs('대치메가 9월 급여'!$Q:$Q,'대치메가 9월 급여'!$M:$M,C61, '대치메가 9월 급여'!$A:$A, A61) + sumifs('대치메가 9월 급여'!$V:$V,'대치메가 9월 급여'!$R:$R,C61, '대치메가 9월 급여'!$A:$A, A61) + sumifs('대치메가 9월 급여'!$AA:$AA,'대치메가 9월 급여'!$W:$W,C61, '대치메가 9월 급여'!$A:$A, A61) + sumifs('대치메가 9월 급여'!$AF:$AF,'대치메가 9월 급여'!$AB:$AB,C61, '대치메가 9월 급여'!$A:$A, A61) + sumifs('대치메가 9월 급여'!$AK:$AK,'대치메가 9월 급여'!$AG:$AG,C61, '대치메가 9월 급여'!$A:$A, A61)</f>
        <v>0</v>
      </c>
      <c r="E61" s="118" t="str">
        <f t="shared" si="19"/>
        <v>X</v>
      </c>
      <c r="F61" s="119">
        <v>10030.0</v>
      </c>
      <c r="G61" s="120">
        <f t="shared" si="2"/>
        <v>0</v>
      </c>
      <c r="H61" s="120">
        <f t="shared" si="22"/>
        <v>0</v>
      </c>
      <c r="I61" s="120">
        <f t="shared" si="4"/>
        <v>0</v>
      </c>
      <c r="J61" s="127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</row>
    <row r="62">
      <c r="A62" s="147" t="s">
        <v>84</v>
      </c>
      <c r="B62" s="19">
        <v>1.0</v>
      </c>
      <c r="C62" s="116" t="s">
        <v>79</v>
      </c>
      <c r="D62" s="117">
        <f>sumifs('대치메가 9월 급여'!$G:$G, '대치메가 9월 급여'!$C:$C, C62, '대치메가 9월 급여'!$A:$A, A62) + sumifs('대치메가 9월 급여'!$L:$L,'대치메가 9월 급여'!$H:$H,C62, '대치메가 9월 급여'!$A:$A, A62) + sumifs('대치메가 9월 급여'!$Q:$Q,'대치메가 9월 급여'!$M:$M,C62, '대치메가 9월 급여'!$A:$A, A62) + sumifs('대치메가 9월 급여'!$V:$V,'대치메가 9월 급여'!$R:$R,C62, '대치메가 9월 급여'!$A:$A, A62) + sumifs('대치메가 9월 급여'!$AA:$AA,'대치메가 9월 급여'!$W:$W,C62, '대치메가 9월 급여'!$A:$A, A62) + sumifs('대치메가 9월 급여'!$AF:$AF,'대치메가 9월 급여'!$AB:$AB,C62, '대치메가 9월 급여'!$A:$A, A62) + sumifs('대치메가 9월 급여'!$AK:$AK,'대치메가 9월 급여'!$AG:$AG,C62, '대치메가 9월 급여'!$A:$A, A62)</f>
        <v>17</v>
      </c>
      <c r="E62" s="118" t="str">
        <f t="shared" si="19"/>
        <v>O</v>
      </c>
      <c r="F62" s="119">
        <v>10030.0</v>
      </c>
      <c r="G62" s="120">
        <f t="shared" si="2"/>
        <v>170510</v>
      </c>
      <c r="H62" s="120">
        <f t="shared" si="22"/>
        <v>34102</v>
      </c>
      <c r="I62" s="120">
        <f t="shared" si="4"/>
        <v>204612</v>
      </c>
      <c r="J62" s="114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</row>
    <row r="63">
      <c r="A63" s="147" t="s">
        <v>84</v>
      </c>
      <c r="B63" s="19">
        <v>2.0</v>
      </c>
      <c r="C63" s="116" t="s">
        <v>16</v>
      </c>
      <c r="D63" s="117">
        <f>sumifs('대치메가 9월 급여'!$G:$G, '대치메가 9월 급여'!$C:$C, C63, '대치메가 9월 급여'!$A:$A, A63) + sumifs('대치메가 9월 급여'!$L:$L,'대치메가 9월 급여'!$H:$H,C63, '대치메가 9월 급여'!$A:$A, A63) + sumifs('대치메가 9월 급여'!$Q:$Q,'대치메가 9월 급여'!$M:$M,C63, '대치메가 9월 급여'!$A:$A, A63) + sumifs('대치메가 9월 급여'!$V:$V,'대치메가 9월 급여'!$R:$R,C63, '대치메가 9월 급여'!$A:$A, A63) + sumifs('대치메가 9월 급여'!$AA:$AA,'대치메가 9월 급여'!$W:$W,C63, '대치메가 9월 급여'!$A:$A, A63) + sumifs('대치메가 9월 급여'!$AF:$AF,'대치메가 9월 급여'!$AB:$AB,C63, '대치메가 9월 급여'!$A:$A, A63) + sumifs('대치메가 9월 급여'!$AK:$AK,'대치메가 9월 급여'!$AG:$AG,C63, '대치메가 9월 급여'!$A:$A, A63)</f>
        <v>3.5</v>
      </c>
      <c r="E63" s="118" t="str">
        <f t="shared" si="19"/>
        <v>X</v>
      </c>
      <c r="F63" s="119">
        <v>10030.0</v>
      </c>
      <c r="G63" s="120">
        <f t="shared" si="2"/>
        <v>35105</v>
      </c>
      <c r="H63" s="120">
        <f t="shared" si="22"/>
        <v>0</v>
      </c>
      <c r="I63" s="120">
        <f t="shared" si="4"/>
        <v>35105</v>
      </c>
      <c r="J63" s="127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</row>
    <row r="64">
      <c r="A64" s="147" t="s">
        <v>84</v>
      </c>
      <c r="B64" s="19">
        <v>3.0</v>
      </c>
      <c r="C64" s="116" t="s">
        <v>20</v>
      </c>
      <c r="D64" s="117">
        <f>sumifs('대치메가 9월 급여'!$G:$G, '대치메가 9월 급여'!$C:$C, C64, '대치메가 9월 급여'!$A:$A, A64) + sumifs('대치메가 9월 급여'!$L:$L,'대치메가 9월 급여'!$H:$H,C64, '대치메가 9월 급여'!$A:$A, A64) + sumifs('대치메가 9월 급여'!$Q:$Q,'대치메가 9월 급여'!$M:$M,C64, '대치메가 9월 급여'!$A:$A, A64) + sumifs('대치메가 9월 급여'!$V:$V,'대치메가 9월 급여'!$R:$R,C64, '대치메가 9월 급여'!$A:$A, A64) + sumifs('대치메가 9월 급여'!$AA:$AA,'대치메가 9월 급여'!$W:$W,C64, '대치메가 9월 급여'!$A:$A, A64) + sumifs('대치메가 9월 급여'!$AF:$AF,'대치메가 9월 급여'!$AB:$AB,C64, '대치메가 9월 급여'!$A:$A, A64) + sumifs('대치메가 9월 급여'!$AK:$AK,'대치메가 9월 급여'!$AG:$AG,C64, '대치메가 9월 급여'!$A:$A, A64)</f>
        <v>17</v>
      </c>
      <c r="E64" s="118" t="str">
        <f t="shared" si="19"/>
        <v>O</v>
      </c>
      <c r="F64" s="119">
        <v>11030.0</v>
      </c>
      <c r="G64" s="120">
        <f t="shared" si="2"/>
        <v>187510</v>
      </c>
      <c r="H64" s="119">
        <v>0.0</v>
      </c>
      <c r="I64" s="120">
        <f t="shared" si="4"/>
        <v>187510</v>
      </c>
      <c r="J64" s="127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</row>
    <row r="65">
      <c r="A65" s="147" t="s">
        <v>84</v>
      </c>
      <c r="B65" s="19">
        <v>4.0</v>
      </c>
      <c r="C65" s="116" t="s">
        <v>25</v>
      </c>
      <c r="D65" s="117">
        <f>sumifs('대치메가 9월 급여'!$G:$G, '대치메가 9월 급여'!$C:$C, C65, '대치메가 9월 급여'!$A:$A, A65) + sumifs('대치메가 9월 급여'!$L:$L,'대치메가 9월 급여'!$H:$H,C65, '대치메가 9월 급여'!$A:$A, A65) + sumifs('대치메가 9월 급여'!$Q:$Q,'대치메가 9월 급여'!$M:$M,C65, '대치메가 9월 급여'!$A:$A, A65) + sumifs('대치메가 9월 급여'!$V:$V,'대치메가 9월 급여'!$R:$R,C65, '대치메가 9월 급여'!$A:$A, A65) + sumifs('대치메가 9월 급여'!$AA:$AA,'대치메가 9월 급여'!$W:$W,C65, '대치메가 9월 급여'!$A:$A, A65) + sumifs('대치메가 9월 급여'!$AF:$AF,'대치메가 9월 급여'!$AB:$AB,C65, '대치메가 9월 급여'!$A:$A, A65) + sumifs('대치메가 9월 급여'!$AK:$AK,'대치메가 9월 급여'!$AG:$AG,C65, '대치메가 9월 급여'!$A:$A, A65)</f>
        <v>3.5</v>
      </c>
      <c r="E65" s="118" t="str">
        <f t="shared" si="19"/>
        <v>X</v>
      </c>
      <c r="F65" s="119">
        <v>10030.0</v>
      </c>
      <c r="G65" s="120">
        <f t="shared" si="2"/>
        <v>35105</v>
      </c>
      <c r="H65" s="120">
        <f t="shared" ref="H65:H91" si="23">if(E65="O", D65/40*8*F65, 0)</f>
        <v>0</v>
      </c>
      <c r="I65" s="120">
        <f t="shared" si="4"/>
        <v>35105</v>
      </c>
      <c r="J65" s="114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</row>
    <row r="66">
      <c r="A66" s="147" t="s">
        <v>84</v>
      </c>
      <c r="B66" s="19">
        <v>5.0</v>
      </c>
      <c r="C66" s="130" t="s">
        <v>30</v>
      </c>
      <c r="D66" s="117">
        <f>sumifs('대치메가 9월 급여'!$G:$G, '대치메가 9월 급여'!$C:$C, C66, '대치메가 9월 급여'!$A:$A, A66) + sumifs('대치메가 9월 급여'!$L:$L,'대치메가 9월 급여'!$H:$H,C66, '대치메가 9월 급여'!$A:$A, A66) + sumifs('대치메가 9월 급여'!$Q:$Q,'대치메가 9월 급여'!$M:$M,C66, '대치메가 9월 급여'!$A:$A, A66) + sumifs('대치메가 9월 급여'!$V:$V,'대치메가 9월 급여'!$R:$R,C66, '대치메가 9월 급여'!$A:$A, A66) + sumifs('대치메가 9월 급여'!$AA:$AA,'대치메가 9월 급여'!$W:$W,C66, '대치메가 9월 급여'!$A:$A, A66) + sumifs('대치메가 9월 급여'!$AF:$AF,'대치메가 9월 급여'!$AB:$AB,C66, '대치메가 9월 급여'!$A:$A, A66) + sumifs('대치메가 9월 급여'!$AK:$AK,'대치메가 9월 급여'!$AG:$AG,C66, '대치메가 9월 급여'!$A:$A, A66)</f>
        <v>4.5</v>
      </c>
      <c r="E66" s="33" t="s">
        <v>99</v>
      </c>
      <c r="F66" s="119">
        <v>11030.0</v>
      </c>
      <c r="G66" s="120">
        <f t="shared" si="2"/>
        <v>49635</v>
      </c>
      <c r="H66" s="120">
        <f t="shared" si="23"/>
        <v>0</v>
      </c>
      <c r="I66" s="120">
        <f t="shared" si="4"/>
        <v>49635</v>
      </c>
      <c r="J66" s="114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</row>
    <row r="67">
      <c r="A67" s="147" t="s">
        <v>84</v>
      </c>
      <c r="B67" s="19">
        <v>6.0</v>
      </c>
      <c r="C67" s="116" t="s">
        <v>36</v>
      </c>
      <c r="D67" s="117">
        <f>sumifs('대치메가 9월 급여'!$G:$G, '대치메가 9월 급여'!$C:$C, C67, '대치메가 9월 급여'!$A:$A, A67) + sumifs('대치메가 9월 급여'!$L:$L,'대치메가 9월 급여'!$H:$H,C67, '대치메가 9월 급여'!$A:$A, A67) + sumifs('대치메가 9월 급여'!$Q:$Q,'대치메가 9월 급여'!$M:$M,C67, '대치메가 9월 급여'!$A:$A, A67) + sumifs('대치메가 9월 급여'!$V:$V,'대치메가 9월 급여'!$R:$R,C67, '대치메가 9월 급여'!$A:$A, A67) + sumifs('대치메가 9월 급여'!$AA:$AA,'대치메가 9월 급여'!$W:$W,C67, '대치메가 9월 급여'!$A:$A, A67) + sumifs('대치메가 9월 급여'!$AF:$AF,'대치메가 9월 급여'!$AB:$AB,C67, '대치메가 9월 급여'!$A:$A, A67) + sumifs('대치메가 9월 급여'!$AK:$AK,'대치메가 9월 급여'!$AG:$AG,C67, '대치메가 9월 급여'!$A:$A, A67)</f>
        <v>0</v>
      </c>
      <c r="E67" s="118" t="str">
        <f t="shared" ref="E67:E80" si="24">if(D67 &gt;= 15, "O", "X")</f>
        <v>X</v>
      </c>
      <c r="F67" s="119">
        <v>11030.0</v>
      </c>
      <c r="G67" s="120">
        <f t="shared" si="2"/>
        <v>0</v>
      </c>
      <c r="H67" s="120">
        <f t="shared" si="23"/>
        <v>0</v>
      </c>
      <c r="I67" s="120">
        <f t="shared" si="4"/>
        <v>0</v>
      </c>
      <c r="J67" s="145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</row>
    <row r="68">
      <c r="A68" s="147" t="s">
        <v>84</v>
      </c>
      <c r="B68" s="19">
        <v>7.0</v>
      </c>
      <c r="C68" s="116" t="s">
        <v>41</v>
      </c>
      <c r="D68" s="117">
        <f>sumifs('대치메가 9월 급여'!$G:$G, '대치메가 9월 급여'!$C:$C, C68, '대치메가 9월 급여'!$A:$A, A68) + sumifs('대치메가 9월 급여'!$L:$L,'대치메가 9월 급여'!$H:$H,C68, '대치메가 9월 급여'!$A:$A, A68) + sumifs('대치메가 9월 급여'!$Q:$Q,'대치메가 9월 급여'!$M:$M,C68, '대치메가 9월 급여'!$A:$A, A68) + sumifs('대치메가 9월 급여'!$V:$V,'대치메가 9월 급여'!$R:$R,C68, '대치메가 9월 급여'!$A:$A, A68) + sumifs('대치메가 9월 급여'!$AA:$AA,'대치메가 9월 급여'!$W:$W,C68, '대치메가 9월 급여'!$A:$A, A68) + sumifs('대치메가 9월 급여'!$AF:$AF,'대치메가 9월 급여'!$AB:$AB,C68, '대치메가 9월 급여'!$A:$A, A68) + sumifs('대치메가 9월 급여'!$AK:$AK,'대치메가 9월 급여'!$AG:$AG,C68, '대치메가 9월 급여'!$A:$A, A68)</f>
        <v>4.5</v>
      </c>
      <c r="E68" s="118" t="str">
        <f t="shared" si="24"/>
        <v>X</v>
      </c>
      <c r="F68" s="119">
        <v>10030.0</v>
      </c>
      <c r="G68" s="120">
        <f t="shared" si="2"/>
        <v>45135</v>
      </c>
      <c r="H68" s="120">
        <f t="shared" si="23"/>
        <v>0</v>
      </c>
      <c r="I68" s="120">
        <f t="shared" si="4"/>
        <v>45135</v>
      </c>
      <c r="J68" s="114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</row>
    <row r="69">
      <c r="A69" s="147" t="s">
        <v>84</v>
      </c>
      <c r="B69" s="19">
        <v>8.0</v>
      </c>
      <c r="C69" s="116" t="s">
        <v>45</v>
      </c>
      <c r="D69" s="136">
        <f>sumifs('대치메가 9월 급여'!$G:$G, '대치메가 9월 급여'!$C:$C, C69, '대치메가 9월 급여'!$A:$A, A69) + sumifs('대치메가 9월 급여'!$L:$L,'대치메가 9월 급여'!$H:$H,C69, '대치메가 9월 급여'!$A:$A, A69) + sumifs('대치메가 9월 급여'!$Q:$Q,'대치메가 9월 급여'!$M:$M,C69, '대치메가 9월 급여'!$A:$A, A69) + sumifs('대치메가 9월 급여'!$V:$V,'대치메가 9월 급여'!$R:$R,C69, '대치메가 9월 급여'!$A:$A, A69) + sumifs('대치메가 9월 급여'!$AA:$AA,'대치메가 9월 급여'!$W:$W,C69, '대치메가 9월 급여'!$A:$A, A69) + sumifs('대치메가 9월 급여'!$AF:$AF,'대치메가 9월 급여'!$AB:$AB,C69, '대치메가 9월 급여'!$A:$A, A69) + sumifs('대치메가 9월 급여'!$AK:$AK,'대치메가 9월 급여'!$AG:$AG,C69, '대치메가 9월 급여'!$A:$A, A69)</f>
        <v>0</v>
      </c>
      <c r="E69" s="118" t="str">
        <f t="shared" si="24"/>
        <v>X</v>
      </c>
      <c r="F69" s="119">
        <v>11030.0</v>
      </c>
      <c r="G69" s="120">
        <f t="shared" si="2"/>
        <v>0</v>
      </c>
      <c r="H69" s="120">
        <f t="shared" si="23"/>
        <v>0</v>
      </c>
      <c r="I69" s="120">
        <f t="shared" si="4"/>
        <v>0</v>
      </c>
      <c r="J69" s="127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</row>
    <row r="70">
      <c r="A70" s="147" t="s">
        <v>84</v>
      </c>
      <c r="B70" s="19">
        <v>9.0</v>
      </c>
      <c r="C70" s="116" t="s">
        <v>80</v>
      </c>
      <c r="D70" s="117">
        <f>sumifs('대치메가 9월 급여'!$G:$G, '대치메가 9월 급여'!$C:$C, C70, '대치메가 9월 급여'!$A:$A, A70) + sumifs('대치메가 9월 급여'!$L:$L,'대치메가 9월 급여'!$H:$H,C70, '대치메가 9월 급여'!$A:$A, A70) + sumifs('대치메가 9월 급여'!$Q:$Q,'대치메가 9월 급여'!$M:$M,C70, '대치메가 9월 급여'!$A:$A, A70) + sumifs('대치메가 9월 급여'!$V:$V,'대치메가 9월 급여'!$R:$R,C70, '대치메가 9월 급여'!$A:$A, A70) + sumifs('대치메가 9월 급여'!$AA:$AA,'대치메가 9월 급여'!$W:$W,C70, '대치메가 9월 급여'!$A:$A, A70) + sumifs('대치메가 9월 급여'!$AF:$AF,'대치메가 9월 급여'!$AB:$AB,C70, '대치메가 9월 급여'!$A:$A, A70) + sumifs('대치메가 9월 급여'!$AK:$AK,'대치메가 9월 급여'!$AG:$AG,C70, '대치메가 9월 급여'!$A:$A, A70)</f>
        <v>0</v>
      </c>
      <c r="E70" s="118" t="str">
        <f t="shared" si="24"/>
        <v>X</v>
      </c>
      <c r="F70" s="119">
        <v>10030.0</v>
      </c>
      <c r="G70" s="120">
        <f t="shared" si="2"/>
        <v>0</v>
      </c>
      <c r="H70" s="120">
        <f t="shared" si="23"/>
        <v>0</v>
      </c>
      <c r="I70" s="120">
        <f t="shared" si="4"/>
        <v>0</v>
      </c>
      <c r="J70" s="127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</row>
    <row r="71">
      <c r="A71" s="147" t="s">
        <v>84</v>
      </c>
      <c r="B71" s="19">
        <v>10.0</v>
      </c>
      <c r="C71" s="116"/>
      <c r="D71" s="117">
        <f>sumifs('대치메가 9월 급여'!$G:$G, '대치메가 9월 급여'!$C:$C, C71, '대치메가 9월 급여'!$A:$A, A71) + sumifs('대치메가 9월 급여'!$L:$L,'대치메가 9월 급여'!$H:$H,C71, '대치메가 9월 급여'!$A:$A, A71) + sumifs('대치메가 9월 급여'!$Q:$Q,'대치메가 9월 급여'!$M:$M,C71, '대치메가 9월 급여'!$A:$A, A71) + sumifs('대치메가 9월 급여'!$V:$V,'대치메가 9월 급여'!$R:$R,C71, '대치메가 9월 급여'!$A:$A, A71) + sumifs('대치메가 9월 급여'!$AA:$AA,'대치메가 9월 급여'!$W:$W,C71, '대치메가 9월 급여'!$A:$A, A71) + sumifs('대치메가 9월 급여'!$AF:$AF,'대치메가 9월 급여'!$AB:$AB,C71, '대치메가 9월 급여'!$A:$A, A71) + sumifs('대치메가 9월 급여'!$AK:$AK,'대치메가 9월 급여'!$AG:$AG,C71, '대치메가 9월 급여'!$A:$A, A71)</f>
        <v>0</v>
      </c>
      <c r="E71" s="118" t="str">
        <f t="shared" si="24"/>
        <v>X</v>
      </c>
      <c r="F71" s="119">
        <v>10030.0</v>
      </c>
      <c r="G71" s="120">
        <f t="shared" si="2"/>
        <v>0</v>
      </c>
      <c r="H71" s="120">
        <f t="shared" si="23"/>
        <v>0</v>
      </c>
      <c r="I71" s="120">
        <f t="shared" si="4"/>
        <v>0</v>
      </c>
      <c r="J71" s="145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</row>
    <row r="72">
      <c r="A72" s="147" t="s">
        <v>84</v>
      </c>
      <c r="B72" s="19">
        <v>11.0</v>
      </c>
      <c r="C72" s="30"/>
      <c r="D72" s="117">
        <f>sumifs('대치메가 9월 급여'!$G:$G, '대치메가 9월 급여'!$C:$C, C72, '대치메가 9월 급여'!$A:$A, A72) + sumifs('대치메가 9월 급여'!$L:$L,'대치메가 9월 급여'!$H:$H,C72, '대치메가 9월 급여'!$A:$A, A72) + sumifs('대치메가 9월 급여'!$Q:$Q,'대치메가 9월 급여'!$M:$M,C72, '대치메가 9월 급여'!$A:$A, A72) + sumifs('대치메가 9월 급여'!$V:$V,'대치메가 9월 급여'!$R:$R,C72, '대치메가 9월 급여'!$A:$A, A72) + sumifs('대치메가 9월 급여'!$AA:$AA,'대치메가 9월 급여'!$W:$W,C72, '대치메가 9월 급여'!$A:$A, A72) + sumifs('대치메가 9월 급여'!$AF:$AF,'대치메가 9월 급여'!$AB:$AB,C72, '대치메가 9월 급여'!$A:$A, A72) + sumifs('대치메가 9월 급여'!$AK:$AK,'대치메가 9월 급여'!$AG:$AG,C72, '대치메가 9월 급여'!$A:$A, A72)</f>
        <v>0</v>
      </c>
      <c r="E72" s="118" t="str">
        <f t="shared" si="24"/>
        <v>X</v>
      </c>
      <c r="F72" s="119">
        <v>10030.0</v>
      </c>
      <c r="G72" s="120">
        <f t="shared" si="2"/>
        <v>0</v>
      </c>
      <c r="H72" s="120">
        <f t="shared" si="23"/>
        <v>0</v>
      </c>
      <c r="I72" s="120">
        <f t="shared" si="4"/>
        <v>0</v>
      </c>
      <c r="J72" s="127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</row>
    <row r="73">
      <c r="A73" s="147" t="s">
        <v>84</v>
      </c>
      <c r="B73" s="19">
        <v>12.0</v>
      </c>
      <c r="C73" s="30"/>
      <c r="D73" s="117">
        <f>sumifs('대치메가 9월 급여'!$G:$G, '대치메가 9월 급여'!$C:$C, C73, '대치메가 9월 급여'!$A:$A, A73) + sumifs('대치메가 9월 급여'!$L:$L,'대치메가 9월 급여'!$H:$H,C73, '대치메가 9월 급여'!$A:$A, A73) + sumifs('대치메가 9월 급여'!$Q:$Q,'대치메가 9월 급여'!$M:$M,C73, '대치메가 9월 급여'!$A:$A, A73) + sumifs('대치메가 9월 급여'!$V:$V,'대치메가 9월 급여'!$R:$R,C73, '대치메가 9월 급여'!$A:$A, A73) + sumifs('대치메가 9월 급여'!$AA:$AA,'대치메가 9월 급여'!$W:$W,C73, '대치메가 9월 급여'!$A:$A, A73) + sumifs('대치메가 9월 급여'!$AF:$AF,'대치메가 9월 급여'!$AB:$AB,C73, '대치메가 9월 급여'!$A:$A, A73) + sumifs('대치메가 9월 급여'!$AK:$AK,'대치메가 9월 급여'!$AG:$AG,C73, '대치메가 9월 급여'!$A:$A, A73)</f>
        <v>0</v>
      </c>
      <c r="E73" s="118" t="str">
        <f t="shared" si="24"/>
        <v>X</v>
      </c>
      <c r="F73" s="119">
        <v>10030.0</v>
      </c>
      <c r="G73" s="120">
        <f t="shared" si="2"/>
        <v>0</v>
      </c>
      <c r="H73" s="120">
        <f t="shared" si="23"/>
        <v>0</v>
      </c>
      <c r="I73" s="120">
        <f t="shared" si="4"/>
        <v>0</v>
      </c>
      <c r="J73" s="114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</row>
    <row r="74">
      <c r="A74" s="147" t="s">
        <v>84</v>
      </c>
      <c r="B74" s="19">
        <v>13.0</v>
      </c>
      <c r="C74" s="30"/>
      <c r="D74" s="117">
        <f>sumifs('대치메가 9월 급여'!$G:$G, '대치메가 9월 급여'!$C:$C, C74, '대치메가 9월 급여'!$A:$A, A74) + sumifs('대치메가 9월 급여'!$L:$L,'대치메가 9월 급여'!$H:$H,C74, '대치메가 9월 급여'!$A:$A, A74) + sumifs('대치메가 9월 급여'!$Q:$Q,'대치메가 9월 급여'!$M:$M,C74, '대치메가 9월 급여'!$A:$A, A74) + sumifs('대치메가 9월 급여'!$V:$V,'대치메가 9월 급여'!$R:$R,C74, '대치메가 9월 급여'!$A:$A, A74) + sumifs('대치메가 9월 급여'!$AA:$AA,'대치메가 9월 급여'!$W:$W,C74, '대치메가 9월 급여'!$A:$A, A74) + sumifs('대치메가 9월 급여'!$AF:$AF,'대치메가 9월 급여'!$AB:$AB,C74, '대치메가 9월 급여'!$A:$A, A74) + sumifs('대치메가 9월 급여'!$AK:$AK,'대치메가 9월 급여'!$AG:$AG,C74, '대치메가 9월 급여'!$A:$A, A74)</f>
        <v>0</v>
      </c>
      <c r="E74" s="118" t="str">
        <f t="shared" si="24"/>
        <v>X</v>
      </c>
      <c r="F74" s="119">
        <v>10030.0</v>
      </c>
      <c r="G74" s="120">
        <f t="shared" si="2"/>
        <v>0</v>
      </c>
      <c r="H74" s="120">
        <f t="shared" si="23"/>
        <v>0</v>
      </c>
      <c r="I74" s="120">
        <f t="shared" si="4"/>
        <v>0</v>
      </c>
      <c r="J74" s="127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</row>
    <row r="75">
      <c r="A75" s="147" t="s">
        <v>84</v>
      </c>
      <c r="B75" s="19">
        <v>14.0</v>
      </c>
      <c r="C75" s="96"/>
      <c r="D75" s="117">
        <f>sumifs('대치메가 9월 급여'!$G:$G, '대치메가 9월 급여'!$C:$C, C75, '대치메가 9월 급여'!$A:$A, A75) + sumifs('대치메가 9월 급여'!$L:$L,'대치메가 9월 급여'!$H:$H,C75, '대치메가 9월 급여'!$A:$A, A75) + sumifs('대치메가 9월 급여'!$Q:$Q,'대치메가 9월 급여'!$M:$M,C75, '대치메가 9월 급여'!$A:$A, A75) + sumifs('대치메가 9월 급여'!$V:$V,'대치메가 9월 급여'!$R:$R,C75, '대치메가 9월 급여'!$A:$A, A75) + sumifs('대치메가 9월 급여'!$AA:$AA,'대치메가 9월 급여'!$W:$W,C75, '대치메가 9월 급여'!$A:$A, A75) + sumifs('대치메가 9월 급여'!$AF:$AF,'대치메가 9월 급여'!$AB:$AB,C75, '대치메가 9월 급여'!$A:$A, A75) + sumifs('대치메가 9월 급여'!$AK:$AK,'대치메가 9월 급여'!$AG:$AG,C75, '대치메가 9월 급여'!$A:$A, A75)</f>
        <v>0</v>
      </c>
      <c r="E75" s="118" t="str">
        <f t="shared" si="24"/>
        <v>X</v>
      </c>
      <c r="F75" s="119">
        <v>10030.0</v>
      </c>
      <c r="G75" s="120">
        <f t="shared" si="2"/>
        <v>0</v>
      </c>
      <c r="H75" s="120">
        <f t="shared" si="23"/>
        <v>0</v>
      </c>
      <c r="I75" s="120">
        <f t="shared" si="4"/>
        <v>0</v>
      </c>
      <c r="J75" s="114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</row>
    <row r="76">
      <c r="A76" s="147" t="s">
        <v>84</v>
      </c>
      <c r="B76" s="19">
        <v>15.0</v>
      </c>
      <c r="C76" s="96"/>
      <c r="D76" s="117">
        <f>sumifs('대치메가 9월 급여'!$G:$G, '대치메가 9월 급여'!$C:$C, C76, '대치메가 9월 급여'!$A:$A, A76) + sumifs('대치메가 9월 급여'!$L:$L,'대치메가 9월 급여'!$H:$H,C76, '대치메가 9월 급여'!$A:$A, A76) + sumifs('대치메가 9월 급여'!$Q:$Q,'대치메가 9월 급여'!$M:$M,C76, '대치메가 9월 급여'!$A:$A, A76) + sumifs('대치메가 9월 급여'!$V:$V,'대치메가 9월 급여'!$R:$R,C76, '대치메가 9월 급여'!$A:$A, A76) + sumifs('대치메가 9월 급여'!$AA:$AA,'대치메가 9월 급여'!$W:$W,C76, '대치메가 9월 급여'!$A:$A, A76) + sumifs('대치메가 9월 급여'!$AF:$AF,'대치메가 9월 급여'!$AB:$AB,C76, '대치메가 9월 급여'!$A:$A, A76) + sumifs('대치메가 9월 급여'!$AK:$AK,'대치메가 9월 급여'!$AG:$AG,C76, '대치메가 9월 급여'!$A:$A, A76)</f>
        <v>0</v>
      </c>
      <c r="E76" s="118" t="str">
        <f t="shared" si="24"/>
        <v>X</v>
      </c>
      <c r="F76" s="119">
        <v>10030.0</v>
      </c>
      <c r="G76" s="120">
        <f t="shared" si="2"/>
        <v>0</v>
      </c>
      <c r="H76" s="120">
        <f t="shared" si="23"/>
        <v>0</v>
      </c>
      <c r="I76" s="120">
        <f t="shared" si="4"/>
        <v>0</v>
      </c>
      <c r="J76" s="127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</row>
    <row r="77">
      <c r="A77" s="148" t="s">
        <v>85</v>
      </c>
      <c r="B77" s="19">
        <v>1.0</v>
      </c>
      <c r="C77" s="116" t="s">
        <v>79</v>
      </c>
      <c r="D77" s="117">
        <f>sumifs('대치메가 9월 급여'!$G:$G, '대치메가 9월 급여'!$C:$C, C77, '대치메가 9월 급여'!$A:$A, A77) + sumifs('대치메가 9월 급여'!$L:$L,'대치메가 9월 급여'!$H:$H,C77, '대치메가 9월 급여'!$A:$A, A77) + sumifs('대치메가 9월 급여'!$Q:$Q,'대치메가 9월 급여'!$M:$M,C77, '대치메가 9월 급여'!$A:$A, A77) + sumifs('대치메가 9월 급여'!$V:$V,'대치메가 9월 급여'!$R:$R,C77, '대치메가 9월 급여'!$A:$A, A77) + sumifs('대치메가 9월 급여'!$AA:$AA,'대치메가 9월 급여'!$W:$W,C77, '대치메가 9월 급여'!$A:$A, A77) + sumifs('대치메가 9월 급여'!$AF:$AF,'대치메가 9월 급여'!$AB:$AB,C77, '대치메가 9월 급여'!$A:$A, A77) + sumifs('대치메가 9월 급여'!$AK:$AK,'대치메가 9월 급여'!$AG:$AG,C77, '대치메가 9월 급여'!$A:$A, A77)</f>
        <v>0</v>
      </c>
      <c r="E77" s="118" t="str">
        <f t="shared" si="24"/>
        <v>X</v>
      </c>
      <c r="F77" s="119">
        <v>10030.0</v>
      </c>
      <c r="G77" s="120">
        <f t="shared" si="2"/>
        <v>0</v>
      </c>
      <c r="H77" s="120">
        <f t="shared" si="23"/>
        <v>0</v>
      </c>
      <c r="I77" s="120">
        <f t="shared" si="4"/>
        <v>0</v>
      </c>
      <c r="J77" s="114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</row>
    <row r="78">
      <c r="A78" s="148" t="s">
        <v>85</v>
      </c>
      <c r="B78" s="19">
        <v>2.0</v>
      </c>
      <c r="C78" s="116" t="s">
        <v>16</v>
      </c>
      <c r="D78" s="117">
        <f>sumifs('대치메가 9월 급여'!$G:$G, '대치메가 9월 급여'!$C:$C, C78, '대치메가 9월 급여'!$A:$A, A78) + sumifs('대치메가 9월 급여'!$L:$L,'대치메가 9월 급여'!$H:$H,C78, '대치메가 9월 급여'!$A:$A, A78) + sumifs('대치메가 9월 급여'!$Q:$Q,'대치메가 9월 급여'!$M:$M,C78, '대치메가 9월 급여'!$A:$A, A78) + sumifs('대치메가 9월 급여'!$V:$V,'대치메가 9월 급여'!$R:$R,C78, '대치메가 9월 급여'!$A:$A, A78) + sumifs('대치메가 9월 급여'!$AA:$AA,'대치메가 9월 급여'!$W:$W,C78, '대치메가 9월 급여'!$A:$A, A78) + sumifs('대치메가 9월 급여'!$AF:$AF,'대치메가 9월 급여'!$AB:$AB,C78, '대치메가 9월 급여'!$A:$A, A78) + sumifs('대치메가 9월 급여'!$AK:$AK,'대치메가 9월 급여'!$AG:$AG,C78, '대치메가 9월 급여'!$A:$A, A78)</f>
        <v>0</v>
      </c>
      <c r="E78" s="118" t="str">
        <f t="shared" si="24"/>
        <v>X</v>
      </c>
      <c r="F78" s="119">
        <v>10030.0</v>
      </c>
      <c r="G78" s="120">
        <f t="shared" si="2"/>
        <v>0</v>
      </c>
      <c r="H78" s="120">
        <f t="shared" si="23"/>
        <v>0</v>
      </c>
      <c r="I78" s="120">
        <f t="shared" si="4"/>
        <v>0</v>
      </c>
      <c r="J78" s="127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</row>
    <row r="79">
      <c r="A79" s="148" t="s">
        <v>85</v>
      </c>
      <c r="B79" s="19">
        <v>3.0</v>
      </c>
      <c r="C79" s="116" t="s">
        <v>20</v>
      </c>
      <c r="D79" s="117">
        <f>sumifs('대치메가 9월 급여'!$G:$G, '대치메가 9월 급여'!$C:$C, C79, '대치메가 9월 급여'!$A:$A, A79) + sumifs('대치메가 9월 급여'!$L:$L,'대치메가 9월 급여'!$H:$H,C79, '대치메가 9월 급여'!$A:$A, A79) + sumifs('대치메가 9월 급여'!$Q:$Q,'대치메가 9월 급여'!$M:$M,C79, '대치메가 9월 급여'!$A:$A, A79) + sumifs('대치메가 9월 급여'!$V:$V,'대치메가 9월 급여'!$R:$R,C79, '대치메가 9월 급여'!$A:$A, A79) + sumifs('대치메가 9월 급여'!$AA:$AA,'대치메가 9월 급여'!$W:$W,C79, '대치메가 9월 급여'!$A:$A, A79) + sumifs('대치메가 9월 급여'!$AF:$AF,'대치메가 9월 급여'!$AB:$AB,C79, '대치메가 9월 급여'!$A:$A, A79) + sumifs('대치메가 9월 급여'!$AK:$AK,'대치메가 9월 급여'!$AG:$AG,C79, '대치메가 9월 급여'!$A:$A, A79)</f>
        <v>0</v>
      </c>
      <c r="E79" s="118" t="str">
        <f t="shared" si="24"/>
        <v>X</v>
      </c>
      <c r="F79" s="119">
        <v>11030.0</v>
      </c>
      <c r="G79" s="120">
        <f t="shared" si="2"/>
        <v>0</v>
      </c>
      <c r="H79" s="120">
        <f t="shared" si="23"/>
        <v>0</v>
      </c>
      <c r="I79" s="120">
        <f t="shared" si="4"/>
        <v>0</v>
      </c>
      <c r="J79" s="127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</row>
    <row r="80">
      <c r="A80" s="148" t="s">
        <v>85</v>
      </c>
      <c r="B80" s="19">
        <v>4.0</v>
      </c>
      <c r="C80" s="116" t="s">
        <v>25</v>
      </c>
      <c r="D80" s="117">
        <f>sumifs('대치메가 9월 급여'!$G:$G, '대치메가 9월 급여'!$C:$C, C80, '대치메가 9월 급여'!$A:$A, A80) + sumifs('대치메가 9월 급여'!$L:$L,'대치메가 9월 급여'!$H:$H,C80, '대치메가 9월 급여'!$A:$A, A80) + sumifs('대치메가 9월 급여'!$Q:$Q,'대치메가 9월 급여'!$M:$M,C80, '대치메가 9월 급여'!$A:$A, A80) + sumifs('대치메가 9월 급여'!$V:$V,'대치메가 9월 급여'!$R:$R,C80, '대치메가 9월 급여'!$A:$A, A80) + sumifs('대치메가 9월 급여'!$AA:$AA,'대치메가 9월 급여'!$W:$W,C80, '대치메가 9월 급여'!$A:$A, A80) + sumifs('대치메가 9월 급여'!$AF:$AF,'대치메가 9월 급여'!$AB:$AB,C80, '대치메가 9월 급여'!$A:$A, A80) + sumifs('대치메가 9월 급여'!$AK:$AK,'대치메가 9월 급여'!$AG:$AG,C80, '대치메가 9월 급여'!$A:$A, A80)</f>
        <v>0</v>
      </c>
      <c r="E80" s="118" t="str">
        <f t="shared" si="24"/>
        <v>X</v>
      </c>
      <c r="F80" s="119">
        <v>10030.0</v>
      </c>
      <c r="G80" s="120">
        <f t="shared" si="2"/>
        <v>0</v>
      </c>
      <c r="H80" s="120">
        <f t="shared" si="23"/>
        <v>0</v>
      </c>
      <c r="I80" s="120">
        <f t="shared" si="4"/>
        <v>0</v>
      </c>
      <c r="J80" s="114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</row>
    <row r="81">
      <c r="A81" s="148" t="s">
        <v>85</v>
      </c>
      <c r="B81" s="19">
        <v>5.0</v>
      </c>
      <c r="C81" s="130" t="s">
        <v>30</v>
      </c>
      <c r="D81" s="117">
        <f>sumifs('대치메가 9월 급여'!$G:$G, '대치메가 9월 급여'!$C:$C, C81, '대치메가 9월 급여'!$A:$A, A81) + sumifs('대치메가 9월 급여'!$L:$L,'대치메가 9월 급여'!$H:$H,C81, '대치메가 9월 급여'!$A:$A, A81) + sumifs('대치메가 9월 급여'!$Q:$Q,'대치메가 9월 급여'!$M:$M,C81, '대치메가 9월 급여'!$A:$A, A81) + sumifs('대치메가 9월 급여'!$V:$V,'대치메가 9월 급여'!$R:$R,C81, '대치메가 9월 급여'!$A:$A, A81) + sumifs('대치메가 9월 급여'!$AA:$AA,'대치메가 9월 급여'!$W:$W,C81, '대치메가 9월 급여'!$A:$A, A81) + sumifs('대치메가 9월 급여'!$AF:$AF,'대치메가 9월 급여'!$AB:$AB,C81, '대치메가 9월 급여'!$A:$A, A81) + sumifs('대치메가 9월 급여'!$AK:$AK,'대치메가 9월 급여'!$AG:$AG,C81, '대치메가 9월 급여'!$A:$A, A81)</f>
        <v>0</v>
      </c>
      <c r="E81" s="33" t="s">
        <v>99</v>
      </c>
      <c r="F81" s="119">
        <v>11030.0</v>
      </c>
      <c r="G81" s="120">
        <f t="shared" si="2"/>
        <v>0</v>
      </c>
      <c r="H81" s="120">
        <f t="shared" si="23"/>
        <v>0</v>
      </c>
      <c r="I81" s="120">
        <f t="shared" si="4"/>
        <v>0</v>
      </c>
      <c r="J81" s="114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</row>
    <row r="82">
      <c r="A82" s="148" t="s">
        <v>85</v>
      </c>
      <c r="B82" s="19">
        <v>6.0</v>
      </c>
      <c r="C82" s="116" t="s">
        <v>36</v>
      </c>
      <c r="D82" s="117">
        <f>sumifs('대치메가 9월 급여'!$G:$G, '대치메가 9월 급여'!$C:$C, C82, '대치메가 9월 급여'!$A:$A, A82) + sumifs('대치메가 9월 급여'!$L:$L,'대치메가 9월 급여'!$H:$H,C82, '대치메가 9월 급여'!$A:$A, A82) + sumifs('대치메가 9월 급여'!$Q:$Q,'대치메가 9월 급여'!$M:$M,C82, '대치메가 9월 급여'!$A:$A, A82) + sumifs('대치메가 9월 급여'!$V:$V,'대치메가 9월 급여'!$R:$R,C82, '대치메가 9월 급여'!$A:$A, A82) + sumifs('대치메가 9월 급여'!$AA:$AA,'대치메가 9월 급여'!$W:$W,C82, '대치메가 9월 급여'!$A:$A, A82) + sumifs('대치메가 9월 급여'!$AF:$AF,'대치메가 9월 급여'!$AB:$AB,C82, '대치메가 9월 급여'!$A:$A, A82) + sumifs('대치메가 9월 급여'!$AK:$AK,'대치메가 9월 급여'!$AG:$AG,C82, '대치메가 9월 급여'!$A:$A, A82)</f>
        <v>0</v>
      </c>
      <c r="E82" s="118" t="str">
        <f t="shared" ref="E82:E91" si="25">if(D82 &gt;= 15, "O", "X")</f>
        <v>X</v>
      </c>
      <c r="F82" s="119">
        <v>11030.0</v>
      </c>
      <c r="G82" s="120">
        <f t="shared" si="2"/>
        <v>0</v>
      </c>
      <c r="H82" s="120">
        <f t="shared" si="23"/>
        <v>0</v>
      </c>
      <c r="I82" s="120">
        <f t="shared" si="4"/>
        <v>0</v>
      </c>
      <c r="J82" s="127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</row>
    <row r="83">
      <c r="A83" s="148" t="s">
        <v>85</v>
      </c>
      <c r="B83" s="19">
        <v>7.0</v>
      </c>
      <c r="C83" s="116" t="s">
        <v>41</v>
      </c>
      <c r="D83" s="117">
        <f>sumifs('대치메가 9월 급여'!$G:$G, '대치메가 9월 급여'!$C:$C, C83, '대치메가 9월 급여'!$A:$A, A83) + sumifs('대치메가 9월 급여'!$L:$L,'대치메가 9월 급여'!$H:$H,C83, '대치메가 9월 급여'!$A:$A, A83) + sumifs('대치메가 9월 급여'!$Q:$Q,'대치메가 9월 급여'!$M:$M,C83, '대치메가 9월 급여'!$A:$A, A83) + sumifs('대치메가 9월 급여'!$V:$V,'대치메가 9월 급여'!$R:$R,C83, '대치메가 9월 급여'!$A:$A, A83) + sumifs('대치메가 9월 급여'!$AA:$AA,'대치메가 9월 급여'!$W:$W,C83, '대치메가 9월 급여'!$A:$A, A83) + sumifs('대치메가 9월 급여'!$AF:$AF,'대치메가 9월 급여'!$AB:$AB,C83, '대치메가 9월 급여'!$A:$A, A83) + sumifs('대치메가 9월 급여'!$AK:$AK,'대치메가 9월 급여'!$AG:$AG,C83, '대치메가 9월 급여'!$A:$A, A83)</f>
        <v>0</v>
      </c>
      <c r="E83" s="118" t="str">
        <f t="shared" si="25"/>
        <v>X</v>
      </c>
      <c r="F83" s="119">
        <v>10030.0</v>
      </c>
      <c r="G83" s="120">
        <f t="shared" si="2"/>
        <v>0</v>
      </c>
      <c r="H83" s="120">
        <f t="shared" si="23"/>
        <v>0</v>
      </c>
      <c r="I83" s="120">
        <f t="shared" si="4"/>
        <v>0</v>
      </c>
      <c r="J83" s="127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</row>
    <row r="84">
      <c r="A84" s="148" t="s">
        <v>85</v>
      </c>
      <c r="B84" s="19">
        <v>8.0</v>
      </c>
      <c r="C84" s="116" t="s">
        <v>45</v>
      </c>
      <c r="D84" s="117">
        <f>sumifs('대치메가 9월 급여'!$G:$G, '대치메가 9월 급여'!$C:$C, C84, '대치메가 9월 급여'!$A:$A, A84) + sumifs('대치메가 9월 급여'!$L:$L,'대치메가 9월 급여'!$H:$H,C84, '대치메가 9월 급여'!$A:$A, A84) + sumifs('대치메가 9월 급여'!$Q:$Q,'대치메가 9월 급여'!$M:$M,C84, '대치메가 9월 급여'!$A:$A, A84) + sumifs('대치메가 9월 급여'!$V:$V,'대치메가 9월 급여'!$R:$R,C84, '대치메가 9월 급여'!$A:$A, A84) + sumifs('대치메가 9월 급여'!$AA:$AA,'대치메가 9월 급여'!$W:$W,C84, '대치메가 9월 급여'!$A:$A, A84) + sumifs('대치메가 9월 급여'!$AF:$AF,'대치메가 9월 급여'!$AB:$AB,C84, '대치메가 9월 급여'!$A:$A, A84) + sumifs('대치메가 9월 급여'!$AK:$AK,'대치메가 9월 급여'!$AG:$AG,C84, '대치메가 9월 급여'!$A:$A, A84)</f>
        <v>0</v>
      </c>
      <c r="E84" s="118" t="str">
        <f t="shared" si="25"/>
        <v>X</v>
      </c>
      <c r="F84" s="119">
        <v>11030.0</v>
      </c>
      <c r="G84" s="120">
        <f t="shared" si="2"/>
        <v>0</v>
      </c>
      <c r="H84" s="120">
        <f t="shared" si="23"/>
        <v>0</v>
      </c>
      <c r="I84" s="120">
        <f t="shared" si="4"/>
        <v>0</v>
      </c>
      <c r="J84" s="127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</row>
    <row r="85">
      <c r="A85" s="148" t="s">
        <v>85</v>
      </c>
      <c r="B85" s="19">
        <v>9.0</v>
      </c>
      <c r="C85" s="116" t="s">
        <v>80</v>
      </c>
      <c r="D85" s="117">
        <f>sumifs('대치메가 9월 급여'!$G:$G, '대치메가 9월 급여'!$C:$C, C85, '대치메가 9월 급여'!$A:$A, A85) + sumifs('대치메가 9월 급여'!$L:$L,'대치메가 9월 급여'!$H:$H,C85, '대치메가 9월 급여'!$A:$A, A85) + sumifs('대치메가 9월 급여'!$Q:$Q,'대치메가 9월 급여'!$M:$M,C85, '대치메가 9월 급여'!$A:$A, A85) + sumifs('대치메가 9월 급여'!$V:$V,'대치메가 9월 급여'!$R:$R,C85, '대치메가 9월 급여'!$A:$A, A85) + sumifs('대치메가 9월 급여'!$AA:$AA,'대치메가 9월 급여'!$W:$W,C85, '대치메가 9월 급여'!$A:$A, A85) + sumifs('대치메가 9월 급여'!$AF:$AF,'대치메가 9월 급여'!$AB:$AB,C85, '대치메가 9월 급여'!$A:$A, A85) + sumifs('대치메가 9월 급여'!$AK:$AK,'대치메가 9월 급여'!$AG:$AG,C85, '대치메가 9월 급여'!$A:$A, A85)</f>
        <v>0</v>
      </c>
      <c r="E85" s="118" t="str">
        <f t="shared" si="25"/>
        <v>X</v>
      </c>
      <c r="F85" s="119">
        <v>10030.0</v>
      </c>
      <c r="G85" s="120">
        <f t="shared" si="2"/>
        <v>0</v>
      </c>
      <c r="H85" s="120">
        <f t="shared" si="23"/>
        <v>0</v>
      </c>
      <c r="I85" s="120">
        <f t="shared" si="4"/>
        <v>0</v>
      </c>
      <c r="J85" s="114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</row>
    <row r="86">
      <c r="A86" s="148" t="s">
        <v>85</v>
      </c>
      <c r="B86" s="19">
        <v>10.0</v>
      </c>
      <c r="C86" s="116"/>
      <c r="D86" s="117">
        <f>sumifs('대치메가 9월 급여'!$G:$G, '대치메가 9월 급여'!$C:$C, C86, '대치메가 9월 급여'!$A:$A, A86) + sumifs('대치메가 9월 급여'!$L:$L,'대치메가 9월 급여'!$H:$H,C86, '대치메가 9월 급여'!$A:$A, A86) + sumifs('대치메가 9월 급여'!$Q:$Q,'대치메가 9월 급여'!$M:$M,C86, '대치메가 9월 급여'!$A:$A, A86) + sumifs('대치메가 9월 급여'!$V:$V,'대치메가 9월 급여'!$R:$R,C86, '대치메가 9월 급여'!$A:$A, A86) + sumifs('대치메가 9월 급여'!$AA:$AA,'대치메가 9월 급여'!$W:$W,C86, '대치메가 9월 급여'!$A:$A, A86) + sumifs('대치메가 9월 급여'!$AF:$AF,'대치메가 9월 급여'!$AB:$AB,C86, '대치메가 9월 급여'!$A:$A, A86) + sumifs('대치메가 9월 급여'!$AK:$AK,'대치메가 9월 급여'!$AG:$AG,C86, '대치메가 9월 급여'!$A:$A, A86)</f>
        <v>0</v>
      </c>
      <c r="E86" s="118" t="str">
        <f t="shared" si="25"/>
        <v>X</v>
      </c>
      <c r="F86" s="119">
        <v>10030.0</v>
      </c>
      <c r="G86" s="120">
        <f t="shared" si="2"/>
        <v>0</v>
      </c>
      <c r="H86" s="120">
        <f t="shared" si="23"/>
        <v>0</v>
      </c>
      <c r="I86" s="120">
        <f t="shared" si="4"/>
        <v>0</v>
      </c>
      <c r="J86" s="114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</row>
    <row r="87">
      <c r="A87" s="148" t="s">
        <v>85</v>
      </c>
      <c r="B87" s="19">
        <v>11.0</v>
      </c>
      <c r="C87" s="30"/>
      <c r="D87" s="117">
        <f>sumifs('대치메가 9월 급여'!$G:$G, '대치메가 9월 급여'!$C:$C, C87, '대치메가 9월 급여'!$A:$A, A87) + sumifs('대치메가 9월 급여'!$L:$L,'대치메가 9월 급여'!$H:$H,C87, '대치메가 9월 급여'!$A:$A, A87) + sumifs('대치메가 9월 급여'!$Q:$Q,'대치메가 9월 급여'!$M:$M,C87, '대치메가 9월 급여'!$A:$A, A87) + sumifs('대치메가 9월 급여'!$V:$V,'대치메가 9월 급여'!$R:$R,C87, '대치메가 9월 급여'!$A:$A, A87) + sumifs('대치메가 9월 급여'!$AA:$AA,'대치메가 9월 급여'!$W:$W,C87, '대치메가 9월 급여'!$A:$A, A87) + sumifs('대치메가 9월 급여'!$AF:$AF,'대치메가 9월 급여'!$AB:$AB,C87, '대치메가 9월 급여'!$A:$A, A87) + sumifs('대치메가 9월 급여'!$AK:$AK,'대치메가 9월 급여'!$AG:$AG,C87, '대치메가 9월 급여'!$A:$A, A87)</f>
        <v>0</v>
      </c>
      <c r="E87" s="118" t="str">
        <f t="shared" si="25"/>
        <v>X</v>
      </c>
      <c r="F87" s="119">
        <v>10030.0</v>
      </c>
      <c r="G87" s="120">
        <f t="shared" si="2"/>
        <v>0</v>
      </c>
      <c r="H87" s="120">
        <f t="shared" si="23"/>
        <v>0</v>
      </c>
      <c r="I87" s="120">
        <f t="shared" si="4"/>
        <v>0</v>
      </c>
      <c r="J87" s="127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</row>
    <row r="88">
      <c r="A88" s="148" t="s">
        <v>85</v>
      </c>
      <c r="B88" s="19">
        <v>12.0</v>
      </c>
      <c r="C88" s="30"/>
      <c r="D88" s="117">
        <f>sumifs('대치메가 9월 급여'!$G:$G, '대치메가 9월 급여'!$C:$C, C88, '대치메가 9월 급여'!$A:$A, A88) + sumifs('대치메가 9월 급여'!$L:$L,'대치메가 9월 급여'!$H:$H,C88, '대치메가 9월 급여'!$A:$A, A88) + sumifs('대치메가 9월 급여'!$Q:$Q,'대치메가 9월 급여'!$M:$M,C88, '대치메가 9월 급여'!$A:$A, A88) + sumifs('대치메가 9월 급여'!$V:$V,'대치메가 9월 급여'!$R:$R,C88, '대치메가 9월 급여'!$A:$A, A88) + sumifs('대치메가 9월 급여'!$AA:$AA,'대치메가 9월 급여'!$W:$W,C88, '대치메가 9월 급여'!$A:$A, A88) + sumifs('대치메가 9월 급여'!$AF:$AF,'대치메가 9월 급여'!$AB:$AB,C88, '대치메가 9월 급여'!$A:$A, A88) + sumifs('대치메가 9월 급여'!$AK:$AK,'대치메가 9월 급여'!$AG:$AG,C88, '대치메가 9월 급여'!$A:$A, A88)</f>
        <v>0</v>
      </c>
      <c r="E88" s="118" t="str">
        <f t="shared" si="25"/>
        <v>X</v>
      </c>
      <c r="F88" s="119">
        <v>10030.0</v>
      </c>
      <c r="G88" s="120">
        <f t="shared" si="2"/>
        <v>0</v>
      </c>
      <c r="H88" s="120">
        <f t="shared" si="23"/>
        <v>0</v>
      </c>
      <c r="I88" s="120">
        <f t="shared" si="4"/>
        <v>0</v>
      </c>
      <c r="J88" s="127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</row>
    <row r="89">
      <c r="A89" s="148" t="s">
        <v>85</v>
      </c>
      <c r="B89" s="19">
        <v>13.0</v>
      </c>
      <c r="C89" s="30"/>
      <c r="D89" s="117">
        <f>sumifs('대치메가 9월 급여'!$G:$G, '대치메가 9월 급여'!$C:$C, C89, '대치메가 9월 급여'!$A:$A, A89) + sumifs('대치메가 9월 급여'!$L:$L,'대치메가 9월 급여'!$H:$H,C89, '대치메가 9월 급여'!$A:$A, A89) + sumifs('대치메가 9월 급여'!$Q:$Q,'대치메가 9월 급여'!$M:$M,C89, '대치메가 9월 급여'!$A:$A, A89) + sumifs('대치메가 9월 급여'!$V:$V,'대치메가 9월 급여'!$R:$R,C89, '대치메가 9월 급여'!$A:$A, A89) + sumifs('대치메가 9월 급여'!$AA:$AA,'대치메가 9월 급여'!$W:$W,C89, '대치메가 9월 급여'!$A:$A, A89) + sumifs('대치메가 9월 급여'!$AF:$AF,'대치메가 9월 급여'!$AB:$AB,C89, '대치메가 9월 급여'!$A:$A, A89) + sumifs('대치메가 9월 급여'!$AK:$AK,'대치메가 9월 급여'!$AG:$AG,C89, '대치메가 9월 급여'!$A:$A, A89)</f>
        <v>0</v>
      </c>
      <c r="E89" s="118" t="str">
        <f t="shared" si="25"/>
        <v>X</v>
      </c>
      <c r="F89" s="119">
        <v>10030.0</v>
      </c>
      <c r="G89" s="120">
        <f t="shared" si="2"/>
        <v>0</v>
      </c>
      <c r="H89" s="120">
        <f t="shared" si="23"/>
        <v>0</v>
      </c>
      <c r="I89" s="120">
        <f t="shared" si="4"/>
        <v>0</v>
      </c>
      <c r="J89" s="127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</row>
    <row r="90">
      <c r="A90" s="148" t="s">
        <v>85</v>
      </c>
      <c r="B90" s="19">
        <v>14.0</v>
      </c>
      <c r="C90" s="96"/>
      <c r="D90" s="117">
        <f>sumifs('대치메가 9월 급여'!$G:$G, '대치메가 9월 급여'!$C:$C, C90, '대치메가 9월 급여'!$A:$A, A90) + sumifs('대치메가 9월 급여'!$L:$L,'대치메가 9월 급여'!$H:$H,C90, '대치메가 9월 급여'!$A:$A, A90) + sumifs('대치메가 9월 급여'!$Q:$Q,'대치메가 9월 급여'!$M:$M,C90, '대치메가 9월 급여'!$A:$A, A90) + sumifs('대치메가 9월 급여'!$V:$V,'대치메가 9월 급여'!$R:$R,C90, '대치메가 9월 급여'!$A:$A, A90) + sumifs('대치메가 9월 급여'!$AA:$AA,'대치메가 9월 급여'!$W:$W,C90, '대치메가 9월 급여'!$A:$A, A90) + sumifs('대치메가 9월 급여'!$AF:$AF,'대치메가 9월 급여'!$AB:$AB,C90, '대치메가 9월 급여'!$A:$A, A90) + sumifs('대치메가 9월 급여'!$AK:$AK,'대치메가 9월 급여'!$AG:$AG,C90, '대치메가 9월 급여'!$A:$A, A90)</f>
        <v>0</v>
      </c>
      <c r="E90" s="118" t="str">
        <f t="shared" si="25"/>
        <v>X</v>
      </c>
      <c r="F90" s="119">
        <v>10030.0</v>
      </c>
      <c r="G90" s="120">
        <f t="shared" si="2"/>
        <v>0</v>
      </c>
      <c r="H90" s="120">
        <f t="shared" si="23"/>
        <v>0</v>
      </c>
      <c r="I90" s="120">
        <f t="shared" si="4"/>
        <v>0</v>
      </c>
      <c r="J90" s="114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</row>
    <row r="91">
      <c r="A91" s="148" t="s">
        <v>85</v>
      </c>
      <c r="B91" s="19">
        <v>15.0</v>
      </c>
      <c r="C91" s="96"/>
      <c r="D91" s="117">
        <f>sumifs('대치메가 9월 급여'!$G:$G, '대치메가 9월 급여'!$C:$C, C91, '대치메가 9월 급여'!$A:$A, A91) + sumifs('대치메가 9월 급여'!$L:$L,'대치메가 9월 급여'!$H:$H,C91, '대치메가 9월 급여'!$A:$A, A91) + sumifs('대치메가 9월 급여'!$Q:$Q,'대치메가 9월 급여'!$M:$M,C91, '대치메가 9월 급여'!$A:$A, A91) + sumifs('대치메가 9월 급여'!$V:$V,'대치메가 9월 급여'!$R:$R,C91, '대치메가 9월 급여'!$A:$A, A91) + sumifs('대치메가 9월 급여'!$AA:$AA,'대치메가 9월 급여'!$W:$W,C91, '대치메가 9월 급여'!$A:$A, A91) + sumifs('대치메가 9월 급여'!$AF:$AF,'대치메가 9월 급여'!$AB:$AB,C91, '대치메가 9월 급여'!$A:$A, A91) + sumifs('대치메가 9월 급여'!$AK:$AK,'대치메가 9월 급여'!$AG:$AG,C91, '대치메가 9월 급여'!$A:$A, A91)</f>
        <v>0</v>
      </c>
      <c r="E91" s="118" t="str">
        <f t="shared" si="25"/>
        <v>X</v>
      </c>
      <c r="F91" s="119">
        <v>10030.0</v>
      </c>
      <c r="G91" s="120">
        <f t="shared" si="2"/>
        <v>0</v>
      </c>
      <c r="H91" s="120">
        <f t="shared" si="23"/>
        <v>0</v>
      </c>
      <c r="I91" s="120">
        <f t="shared" si="4"/>
        <v>0</v>
      </c>
      <c r="J91" s="127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</row>
    <row r="92">
      <c r="A92" s="111"/>
      <c r="B92" s="111"/>
      <c r="C92" s="111"/>
      <c r="D92" s="149"/>
      <c r="E92" s="150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</row>
  </sheetData>
  <autoFilter ref="$A$1:$T$9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38"/>
    <col customWidth="1" min="2" max="2" width="5.5"/>
    <col customWidth="1" min="3" max="3" width="13.13"/>
    <col customWidth="1" min="4" max="4" width="9.38"/>
    <col customWidth="1" min="5" max="5" width="7.5"/>
    <col customWidth="1" min="6" max="6" width="10.13"/>
    <col customWidth="1" min="7" max="7" width="12.0"/>
    <col customWidth="1" min="8" max="8" width="9.0"/>
    <col customWidth="1" min="9" max="9" width="12.0"/>
    <col customWidth="1" min="10" max="11" width="8.0"/>
    <col customWidth="1" min="12" max="12" width="14.0"/>
    <col customWidth="1" min="13" max="13" width="11.38"/>
    <col customWidth="1" min="14" max="14" width="10.75"/>
    <col customWidth="1" min="15" max="15" width="12.63"/>
  </cols>
  <sheetData>
    <row r="1">
      <c r="A1" s="2" t="s">
        <v>74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4" t="s">
        <v>5</v>
      </c>
      <c r="H1" s="2" t="s">
        <v>6</v>
      </c>
      <c r="I1" s="4" t="s">
        <v>7</v>
      </c>
      <c r="J1" s="2" t="s">
        <v>8</v>
      </c>
      <c r="K1" s="2" t="s">
        <v>9</v>
      </c>
      <c r="L1" s="2" t="s">
        <v>10</v>
      </c>
      <c r="M1" s="1" t="s">
        <v>107</v>
      </c>
      <c r="N1" s="1" t="s">
        <v>12</v>
      </c>
      <c r="O1" s="1" t="s">
        <v>13</v>
      </c>
      <c r="P1" s="1" t="s">
        <v>108</v>
      </c>
      <c r="Q1" s="1" t="s">
        <v>109</v>
      </c>
    </row>
    <row r="2">
      <c r="A2" s="151">
        <v>1.0</v>
      </c>
      <c r="B2" s="151" t="s">
        <v>79</v>
      </c>
      <c r="C2" s="152"/>
      <c r="D2" s="153" t="s">
        <v>17</v>
      </c>
      <c r="E2" s="152" t="s">
        <v>18</v>
      </c>
      <c r="F2" s="152" t="s">
        <v>19</v>
      </c>
      <c r="G2" s="152"/>
      <c r="H2" s="152"/>
      <c r="I2" s="152"/>
      <c r="J2" s="154">
        <f>sumif('대치 9월 주급여'!$M$2:$Q$16, B2, '대치 9월 주급여'!$S$2:$S$16)+sumif('삼성 9월 주급여'!$M$2:$Q$16, B2, '삼성 9월 주급여'!$S$2:$S$16)</f>
        <v>2262768</v>
      </c>
      <c r="K2" s="154">
        <f>J2</f>
        <v>2262768</v>
      </c>
      <c r="L2" s="152" t="s">
        <v>19</v>
      </c>
      <c r="M2" s="152"/>
      <c r="N2" s="152"/>
      <c r="O2" s="151"/>
      <c r="P2" s="151"/>
      <c r="Q2" s="151"/>
    </row>
    <row r="3">
      <c r="A3" s="19">
        <v>2.0</v>
      </c>
      <c r="B3" s="26" t="s">
        <v>110</v>
      </c>
      <c r="C3" s="155" t="s">
        <v>111</v>
      </c>
      <c r="D3" s="156" t="s">
        <v>112</v>
      </c>
      <c r="E3" s="26" t="s">
        <v>39</v>
      </c>
      <c r="F3" s="135" t="s">
        <v>34</v>
      </c>
      <c r="G3" s="135">
        <v>9.0</v>
      </c>
      <c r="H3" s="125"/>
      <c r="I3" s="19"/>
      <c r="J3" s="157">
        <f>sumif('대치 9월 주급여'!$M$2:$Q$16, B3, '대치 9월 주급여'!$S$2:$S$16)+sumif('삼성 9월 주급여'!$M$2:$Q$20, B3, '삼성 9월 주급여'!$S$2:$S$16)</f>
        <v>424655</v>
      </c>
      <c r="K3" s="157">
        <f>sumif('대치 9월 주급여'!$M$2:$Q$16, B3, '대치 9월 주급여'!$Q$2:$Q$16)+sumif('삼성 9월 주급여'!$M$2:$Q$20, B3, '삼성 9월 주급여'!$Q$2:$Q$20)</f>
        <v>424655</v>
      </c>
      <c r="L3" s="135" t="s">
        <v>35</v>
      </c>
      <c r="M3" s="19"/>
      <c r="N3" s="19"/>
      <c r="O3" s="19"/>
      <c r="P3" s="158"/>
      <c r="Q3" s="159"/>
    </row>
    <row r="4">
      <c r="A4" s="19">
        <v>3.0</v>
      </c>
      <c r="B4" s="26" t="s">
        <v>113</v>
      </c>
      <c r="C4" s="160" t="s">
        <v>114</v>
      </c>
      <c r="D4" s="161" t="s">
        <v>115</v>
      </c>
      <c r="E4" s="26" t="s">
        <v>116</v>
      </c>
      <c r="F4" s="135" t="s">
        <v>49</v>
      </c>
      <c r="G4" s="76">
        <v>40.0</v>
      </c>
      <c r="H4" s="125"/>
      <c r="I4" s="125"/>
      <c r="J4" s="157">
        <f>sumif('대치 9월 주급여'!$M$2:$Q$16, B4, '대치 9월 주급여'!$S$2:$S$16)+sumif('삼성 9월 주급여'!$M$2:$Q$20, B4, '삼성 9월 주급여'!$S$2:$S$16)</f>
        <v>2618515</v>
      </c>
      <c r="K4" s="157">
        <f>sumif('대치 9월 주급여'!$M$2:$Q$16, B4, '대치 9월 주급여'!$Q$2:$Q$16)+sumif('삼성 9월 주급여'!$M$2:$Q$20, B4, '삼성 9월 주급여'!$Q$2:$Q$20)</f>
        <v>2707865</v>
      </c>
      <c r="L4" s="24" t="s">
        <v>24</v>
      </c>
      <c r="M4" s="125"/>
      <c r="N4" s="125"/>
      <c r="O4" s="19"/>
      <c r="P4" s="156"/>
      <c r="Q4" s="162"/>
    </row>
    <row r="5">
      <c r="A5" s="19">
        <v>4.0</v>
      </c>
      <c r="B5" s="26" t="s">
        <v>117</v>
      </c>
      <c r="C5" s="155" t="s">
        <v>118</v>
      </c>
      <c r="D5" s="156" t="s">
        <v>119</v>
      </c>
      <c r="E5" s="26" t="s">
        <v>73</v>
      </c>
      <c r="F5" s="135" t="s">
        <v>120</v>
      </c>
      <c r="G5" s="135">
        <v>8.0</v>
      </c>
      <c r="H5" s="125"/>
      <c r="I5" s="19"/>
      <c r="J5" s="157">
        <f>sumif('대치 9월 주급여'!$M$2:$Q$16, B5, '대치 9월 주급여'!$S$2:$S$16)+sumif('삼성 9월 주급여'!$M$2:$Q$20, B5, '삼성 9월 주급여'!$S$2:$S$16)</f>
        <v>190570</v>
      </c>
      <c r="K5" s="157">
        <f>sumif('대치 9월 주급여'!$M$2:$Q$16, B5, '대치 9월 주급여'!$Q$2:$Q$16)+sumif('삼성 9월 주급여'!$M$2:$Q$20, B5, '삼성 9월 주급여'!$Q$2:$Q$20)</f>
        <v>190570</v>
      </c>
      <c r="L5" s="135" t="s">
        <v>35</v>
      </c>
      <c r="M5" s="19"/>
      <c r="N5" s="19"/>
      <c r="O5" s="19"/>
      <c r="P5" s="158"/>
      <c r="Q5" s="159"/>
    </row>
    <row r="6">
      <c r="A6" s="19">
        <v>6.0</v>
      </c>
      <c r="B6" s="163" t="s">
        <v>121</v>
      </c>
      <c r="C6" s="90" t="s">
        <v>122</v>
      </c>
      <c r="D6" s="161" t="s">
        <v>123</v>
      </c>
      <c r="E6" s="26" t="s">
        <v>124</v>
      </c>
      <c r="F6" s="135" t="s">
        <v>49</v>
      </c>
      <c r="G6" s="76">
        <v>16.0</v>
      </c>
      <c r="H6" s="26"/>
      <c r="I6" s="26"/>
      <c r="J6" s="157">
        <f>sumif('대치 9월 주급여'!$M$2:$Q$16, B6, '대치 9월 주급여'!$S$2:$S$16)+sumif('삼성 9월 주급여'!$M$2:$Q$20, B6, '삼성 9월 주급여'!$S$2:$S$16)</f>
        <v>870348</v>
      </c>
      <c r="K6" s="157">
        <f>sumif('대치 9월 주급여'!$M$2:$Q$16, B6, '대치 9월 주급여'!$Q$2:$Q$16)+sumif('삼성 9월 주급여'!$M$2:$Q$20, B6, '삼성 9월 주급여'!$Q$2:$Q$20)</f>
        <v>900048</v>
      </c>
      <c r="L6" s="24" t="s">
        <v>24</v>
      </c>
      <c r="M6" s="164"/>
      <c r="N6" s="164"/>
      <c r="O6" s="76"/>
      <c r="P6" s="135"/>
      <c r="Q6" s="135"/>
    </row>
    <row r="7">
      <c r="A7" s="19">
        <v>7.0</v>
      </c>
      <c r="B7" s="19" t="s">
        <v>125</v>
      </c>
      <c r="C7" s="33" t="s">
        <v>126</v>
      </c>
      <c r="D7" s="161" t="s">
        <v>127</v>
      </c>
      <c r="E7" s="26" t="s">
        <v>116</v>
      </c>
      <c r="F7" s="76" t="s">
        <v>128</v>
      </c>
      <c r="G7" s="76">
        <v>16.5</v>
      </c>
      <c r="H7" s="125"/>
      <c r="I7" s="19"/>
      <c r="J7" s="157">
        <f>sumif('대치 9월 주급여'!$M$2:$Q$16, B7, '대치 9월 주급여'!$S$2:$S$16)+sumif('삼성 9월 주급여'!$M$2:$Q$20, B7, '삼성 9월 주급여'!$S$2:$S$16)</f>
        <v>1484716</v>
      </c>
      <c r="K7" s="157">
        <f>sumif('대치 9월 주급여'!$M$2:$Q$16, B7, '대치 9월 주급여'!$Q$2:$Q$16)+sumif('삼성 9월 주급여'!$M$2:$Q$20, B7, '삼성 9월 주급여'!$Q$2:$Q$20)</f>
        <v>1535376</v>
      </c>
      <c r="L7" s="76" t="s">
        <v>24</v>
      </c>
      <c r="M7" s="19"/>
      <c r="N7" s="19"/>
      <c r="O7" s="19"/>
      <c r="P7" s="158"/>
      <c r="Q7" s="159"/>
    </row>
    <row r="8">
      <c r="A8" s="19">
        <v>8.0</v>
      </c>
      <c r="B8" s="19" t="s">
        <v>129</v>
      </c>
      <c r="C8" s="33" t="s">
        <v>130</v>
      </c>
      <c r="D8" s="161" t="s">
        <v>131</v>
      </c>
      <c r="E8" s="76" t="s">
        <v>132</v>
      </c>
      <c r="F8" s="76" t="s">
        <v>34</v>
      </c>
      <c r="G8" s="76">
        <v>9.0</v>
      </c>
      <c r="H8" s="125"/>
      <c r="I8" s="19"/>
      <c r="J8" s="157">
        <f>sumif('대치 9월 주급여'!$M$2:$Q$16, B8, '대치 9월 주급여'!$S$2:$S$16)+sumif('삼성 9월 주급여'!$M$2:$Q$20, B8, '삼성 9월 주급여'!$S$2:$S$16)</f>
        <v>540470</v>
      </c>
      <c r="K8" s="157">
        <f>sumif('대치 9월 주급여'!$M$2:$Q$16, B8, '대치 9월 주급여'!$Q$2:$Q$16)+sumif('삼성 9월 주급여'!$M$2:$Q$20, B8, '삼성 9월 주급여'!$Q$2:$Q$20)</f>
        <v>540470</v>
      </c>
      <c r="L8" s="135" t="s">
        <v>35</v>
      </c>
      <c r="M8" s="19"/>
      <c r="N8" s="19"/>
      <c r="O8" s="19"/>
      <c r="P8" s="158"/>
      <c r="Q8" s="159"/>
    </row>
    <row r="9">
      <c r="A9" s="165">
        <v>9.0</v>
      </c>
      <c r="B9" s="166" t="s">
        <v>133</v>
      </c>
      <c r="C9" s="167" t="s">
        <v>134</v>
      </c>
      <c r="D9" s="168" t="s">
        <v>135</v>
      </c>
      <c r="E9" s="169" t="s">
        <v>136</v>
      </c>
      <c r="F9" s="166" t="s">
        <v>34</v>
      </c>
      <c r="G9" s="166">
        <v>13.5</v>
      </c>
      <c r="H9" s="170"/>
      <c r="I9" s="170"/>
      <c r="J9" s="171">
        <f>sumif('대치 9월 주급여'!$M$2:$Q$16, B9, '대치 9월 주급여'!$S$2:$S$16)+sumif('삼성 9월 주급여'!$M$2:$Q$16, B9, '삼성 9월 주급여'!$S$2:$S$16)</f>
        <v>358475</v>
      </c>
      <c r="K9" s="171">
        <f>sumif('대치 9월 주급여'!$M$2:$Q$16, B9, '대치 9월 주급여'!$Q$2:$Q$16)+sumif('삼성 9월 주급여'!$M$2:$Q$20, B9, '삼성 9월 주급여'!$Q$2:$Q$20)</f>
        <v>358475</v>
      </c>
      <c r="L9" s="172" t="s">
        <v>35</v>
      </c>
      <c r="M9" s="173"/>
      <c r="N9" s="173"/>
      <c r="O9" s="165" t="s">
        <v>55</v>
      </c>
      <c r="P9" s="174"/>
      <c r="Q9" s="175"/>
      <c r="R9" s="176"/>
    </row>
    <row r="10">
      <c r="A10" s="19">
        <v>10.0</v>
      </c>
      <c r="B10" s="26" t="s">
        <v>80</v>
      </c>
      <c r="C10" s="155" t="s">
        <v>54</v>
      </c>
      <c r="D10" s="156" t="s">
        <v>17</v>
      </c>
      <c r="E10" s="26" t="s">
        <v>72</v>
      </c>
      <c r="F10" s="135" t="s">
        <v>137</v>
      </c>
      <c r="G10" s="135">
        <v>8.0</v>
      </c>
      <c r="H10" s="125"/>
      <c r="I10" s="19"/>
      <c r="J10" s="157">
        <f>sumif('대치 9월 주급여'!$M$2:$Q$16, B10, '대치 9월 주급여'!$S$2:$S$16)+sumif('삼성 9월 주급여'!$M$2:$Q$16, B10,'삼성 9월 주급여'!$S$2:$S$16)</f>
        <v>416245</v>
      </c>
      <c r="K10" s="157">
        <f>sumif('대치 9월 주급여'!$M$2:$Q$16, B10, '대치 9월 주급여'!$Q$2:$Q$16)+sumif('삼성 9월 주급여'!$M$2:$Q$20, B10, '삼성 9월 주급여'!$Q$2:$Q$20)</f>
        <v>416245</v>
      </c>
      <c r="L10" s="76" t="s">
        <v>138</v>
      </c>
      <c r="M10" s="19"/>
      <c r="N10" s="19"/>
      <c r="O10" s="19"/>
      <c r="P10" s="158"/>
      <c r="Q10" s="159"/>
      <c r="R10" s="176"/>
    </row>
    <row r="11">
      <c r="A11" s="19">
        <v>11.0</v>
      </c>
      <c r="B11" s="177"/>
      <c r="C11" s="90"/>
      <c r="D11" s="161"/>
      <c r="E11" s="26"/>
      <c r="F11" s="135"/>
      <c r="G11" s="76"/>
      <c r="H11" s="26"/>
      <c r="I11" s="26"/>
      <c r="J11" s="157"/>
      <c r="K11" s="157"/>
      <c r="L11" s="24"/>
      <c r="M11" s="164"/>
      <c r="N11" s="164"/>
      <c r="O11" s="76"/>
      <c r="P11" s="135"/>
      <c r="Q11" s="135"/>
      <c r="R11" s="176"/>
    </row>
    <row r="12">
      <c r="A12" s="178">
        <v>12.0</v>
      </c>
      <c r="B12" s="179" t="s">
        <v>139</v>
      </c>
      <c r="C12" s="180" t="s">
        <v>140</v>
      </c>
      <c r="D12" s="181" t="s">
        <v>58</v>
      </c>
      <c r="E12" s="182"/>
      <c r="F12" s="183"/>
      <c r="G12" s="179">
        <v>14.0</v>
      </c>
      <c r="H12" s="184"/>
      <c r="I12" s="184"/>
      <c r="J12" s="185">
        <v>0.0</v>
      </c>
      <c r="K12" s="186">
        <v>580000.0</v>
      </c>
      <c r="L12" s="187" t="s">
        <v>24</v>
      </c>
      <c r="M12" s="188"/>
      <c r="N12" s="188"/>
      <c r="O12" s="179" t="s">
        <v>63</v>
      </c>
      <c r="P12" s="189"/>
      <c r="Q12" s="189"/>
      <c r="R12" s="176"/>
    </row>
    <row r="13">
      <c r="A13" s="178">
        <v>13.0</v>
      </c>
      <c r="B13" s="184" t="s">
        <v>141</v>
      </c>
      <c r="C13" s="190" t="s">
        <v>142</v>
      </c>
      <c r="D13" s="183" t="s">
        <v>62</v>
      </c>
      <c r="E13" s="182"/>
      <c r="F13" s="183"/>
      <c r="G13" s="179">
        <v>14.0</v>
      </c>
      <c r="H13" s="184" t="s">
        <v>54</v>
      </c>
      <c r="I13" s="184"/>
      <c r="J13" s="191">
        <f>sumif('대치 9월 주급여'!$M$2:$Q$16, B13, '대치 9월 주급여'!$Q$2:$Q$16)+sumif('삼성 9월 주급여'!$M$2:$Q$16, B13,'삼성 9월 주급여'!$S$2:$S$16)</f>
        <v>0</v>
      </c>
      <c r="K13" s="192">
        <v>580000.0</v>
      </c>
      <c r="L13" s="187" t="s">
        <v>24</v>
      </c>
      <c r="M13" s="188"/>
      <c r="N13" s="188"/>
      <c r="O13" s="189" t="s">
        <v>63</v>
      </c>
      <c r="P13" s="189"/>
      <c r="Q13" s="189"/>
      <c r="R13" s="176"/>
    </row>
    <row r="14">
      <c r="A14" s="193"/>
      <c r="B14" s="59"/>
      <c r="C14" s="193"/>
      <c r="D14" s="193"/>
      <c r="E14" s="193"/>
      <c r="F14" s="193"/>
      <c r="G14" s="193"/>
      <c r="H14" s="193"/>
      <c r="I14" s="193"/>
      <c r="J14" s="194">
        <f t="shared" ref="J14:K14" si="1">sum(J4:J13)</f>
        <v>6479339</v>
      </c>
      <c r="K14" s="194">
        <f t="shared" si="1"/>
        <v>7809049</v>
      </c>
      <c r="L14" s="193"/>
      <c r="M14" s="193"/>
      <c r="N14" s="193"/>
      <c r="O14" s="193"/>
      <c r="P14" s="193"/>
      <c r="Q14" s="193"/>
    </row>
  </sheetData>
  <autoFilter ref="$A$1:$R$1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.88"/>
    <col customWidth="1" min="3" max="6" width="4.5"/>
    <col customWidth="1" min="7" max="7" width="3.88"/>
    <col customWidth="1" min="8" max="11" width="4.5"/>
    <col customWidth="1" min="12" max="12" width="3.88"/>
    <col customWidth="1" min="13" max="16" width="4.5"/>
    <col customWidth="1" min="17" max="17" width="3.88"/>
    <col customWidth="1" min="18" max="21" width="4.5"/>
    <col customWidth="1" min="22" max="22" width="3.88"/>
    <col customWidth="1" min="23" max="26" width="4.5"/>
    <col customWidth="1" min="27" max="27" width="3.88"/>
    <col customWidth="1" min="28" max="31" width="4.5"/>
    <col customWidth="1" min="32" max="32" width="3.88"/>
    <col customWidth="1" min="33" max="36" width="4.5"/>
    <col customWidth="1" min="37" max="37" width="3.88"/>
  </cols>
  <sheetData>
    <row r="1">
      <c r="A1" s="62" t="s">
        <v>143</v>
      </c>
      <c r="B1" s="63"/>
      <c r="C1" s="62" t="s">
        <v>67</v>
      </c>
      <c r="D1" s="64"/>
      <c r="E1" s="64"/>
      <c r="F1" s="64"/>
      <c r="G1" s="63"/>
      <c r="H1" s="62" t="s">
        <v>68</v>
      </c>
      <c r="I1" s="64"/>
      <c r="J1" s="64"/>
      <c r="K1" s="64"/>
      <c r="L1" s="63"/>
      <c r="M1" s="62" t="s">
        <v>69</v>
      </c>
      <c r="N1" s="64"/>
      <c r="O1" s="64"/>
      <c r="P1" s="64"/>
      <c r="Q1" s="63"/>
      <c r="R1" s="62" t="s">
        <v>70</v>
      </c>
      <c r="S1" s="64"/>
      <c r="T1" s="64"/>
      <c r="U1" s="64"/>
      <c r="V1" s="63"/>
      <c r="W1" s="62" t="s">
        <v>71</v>
      </c>
      <c r="X1" s="64"/>
      <c r="Y1" s="64"/>
      <c r="Z1" s="64"/>
      <c r="AA1" s="63"/>
      <c r="AB1" s="65" t="s">
        <v>72</v>
      </c>
      <c r="AC1" s="64"/>
      <c r="AD1" s="64"/>
      <c r="AE1" s="64"/>
      <c r="AF1" s="63"/>
      <c r="AG1" s="66" t="s">
        <v>73</v>
      </c>
      <c r="AH1" s="64"/>
      <c r="AI1" s="64"/>
      <c r="AJ1" s="64"/>
      <c r="AK1" s="63"/>
      <c r="AL1" s="193"/>
    </row>
    <row r="2">
      <c r="A2" s="67" t="s">
        <v>74</v>
      </c>
      <c r="B2" s="68"/>
      <c r="C2" s="69" t="s">
        <v>0</v>
      </c>
      <c r="D2" s="69" t="s">
        <v>75</v>
      </c>
      <c r="E2" s="69" t="s">
        <v>76</v>
      </c>
      <c r="F2" s="69" t="s">
        <v>13</v>
      </c>
      <c r="G2" s="69" t="s">
        <v>4</v>
      </c>
      <c r="H2" s="69" t="s">
        <v>0</v>
      </c>
      <c r="I2" s="69" t="s">
        <v>75</v>
      </c>
      <c r="J2" s="69" t="s">
        <v>76</v>
      </c>
      <c r="K2" s="69"/>
      <c r="L2" s="69" t="s">
        <v>4</v>
      </c>
      <c r="M2" s="69" t="s">
        <v>0</v>
      </c>
      <c r="N2" s="69" t="s">
        <v>75</v>
      </c>
      <c r="O2" s="69" t="s">
        <v>76</v>
      </c>
      <c r="P2" s="69" t="s">
        <v>13</v>
      </c>
      <c r="Q2" s="69" t="s">
        <v>4</v>
      </c>
      <c r="R2" s="69" t="s">
        <v>0</v>
      </c>
      <c r="S2" s="69" t="s">
        <v>75</v>
      </c>
      <c r="T2" s="69" t="s">
        <v>76</v>
      </c>
      <c r="U2" s="69" t="s">
        <v>13</v>
      </c>
      <c r="V2" s="69" t="s">
        <v>4</v>
      </c>
      <c r="W2" s="69" t="s">
        <v>0</v>
      </c>
      <c r="X2" s="69" t="s">
        <v>75</v>
      </c>
      <c r="Y2" s="69" t="s">
        <v>76</v>
      </c>
      <c r="Z2" s="69" t="s">
        <v>13</v>
      </c>
      <c r="AA2" s="69" t="s">
        <v>4</v>
      </c>
      <c r="AB2" s="69" t="s">
        <v>0</v>
      </c>
      <c r="AC2" s="69" t="s">
        <v>75</v>
      </c>
      <c r="AD2" s="69" t="s">
        <v>76</v>
      </c>
      <c r="AE2" s="69" t="s">
        <v>13</v>
      </c>
      <c r="AF2" s="69" t="s">
        <v>4</v>
      </c>
      <c r="AG2" s="69" t="s">
        <v>0</v>
      </c>
      <c r="AH2" s="69" t="s">
        <v>75</v>
      </c>
      <c r="AI2" s="69" t="s">
        <v>76</v>
      </c>
      <c r="AJ2" s="69" t="s">
        <v>13</v>
      </c>
      <c r="AK2" s="69" t="s">
        <v>4</v>
      </c>
      <c r="AL2" s="193"/>
    </row>
    <row r="3">
      <c r="A3" s="70"/>
      <c r="B3" s="70" t="s">
        <v>77</v>
      </c>
      <c r="C3" s="71">
        <v>1.0</v>
      </c>
      <c r="D3" s="64"/>
      <c r="E3" s="64"/>
      <c r="F3" s="63"/>
      <c r="G3" s="72">
        <f t="shared" ref="G3:G38" si="1">if(E3-D3 &lt; 0 , (E3-D3+1)*24, (E3-D3)*24)</f>
        <v>0</v>
      </c>
      <c r="H3" s="71">
        <v>2.0</v>
      </c>
      <c r="I3" s="64"/>
      <c r="J3" s="64"/>
      <c r="K3" s="63"/>
      <c r="L3" s="72">
        <f t="shared" ref="L3:L38" si="2">if(J3-I3 &lt; 0 , (J3-I3+1)*24, (J3-I3)*24)</f>
        <v>0</v>
      </c>
      <c r="M3" s="71">
        <v>3.0</v>
      </c>
      <c r="N3" s="64"/>
      <c r="O3" s="64"/>
      <c r="P3" s="63"/>
      <c r="Q3" s="72">
        <f t="shared" ref="Q3:Q38" si="3">if(O3-N3 &lt; 0 , (O3-N3+1)*24, (O3-N3)*24)</f>
        <v>0</v>
      </c>
      <c r="R3" s="71">
        <v>4.0</v>
      </c>
      <c r="S3" s="64"/>
      <c r="T3" s="64"/>
      <c r="U3" s="63"/>
      <c r="V3" s="72">
        <f t="shared" ref="V3:V38" si="4">if(T3-S3 &lt; 0 , (T3-S3+1)*24, (T3-S3)*24)</f>
        <v>0</v>
      </c>
      <c r="W3" s="71">
        <v>5.0</v>
      </c>
      <c r="X3" s="64"/>
      <c r="Y3" s="64"/>
      <c r="Z3" s="63"/>
      <c r="AA3" s="72">
        <f t="shared" ref="AA3:AA38" si="5">if(Y3-X3 &lt; 0 , (Y3-X3+1)*24, (Y3-X3)*24)</f>
        <v>0</v>
      </c>
      <c r="AB3" s="74">
        <v>2.0</v>
      </c>
      <c r="AC3" s="64"/>
      <c r="AD3" s="64"/>
      <c r="AE3" s="63"/>
      <c r="AF3" s="72">
        <v>6.0</v>
      </c>
      <c r="AG3" s="75">
        <v>7.0</v>
      </c>
      <c r="AH3" s="64"/>
      <c r="AI3" s="64"/>
      <c r="AJ3" s="63"/>
      <c r="AK3" s="72">
        <f t="shared" ref="AK3:AK31" si="6">if(AI3-AH3 &lt; 0 , (AI3-AH3+1)*24, (AI3-AH3)*24)</f>
        <v>0</v>
      </c>
      <c r="AL3" s="193"/>
    </row>
    <row r="4">
      <c r="A4" s="19" t="s">
        <v>78</v>
      </c>
      <c r="B4" s="19">
        <v>1.0</v>
      </c>
      <c r="C4" s="195" t="s">
        <v>16</v>
      </c>
      <c r="D4" s="196">
        <v>0.3333333333333333</v>
      </c>
      <c r="E4" s="196">
        <v>0.625</v>
      </c>
      <c r="F4" s="89"/>
      <c r="G4" s="197">
        <f t="shared" si="1"/>
        <v>7</v>
      </c>
      <c r="H4" s="195" t="s">
        <v>16</v>
      </c>
      <c r="I4" s="196">
        <v>0.3333333333333333</v>
      </c>
      <c r="J4" s="196">
        <v>0.625</v>
      </c>
      <c r="K4" s="89"/>
      <c r="L4" s="197">
        <f t="shared" si="2"/>
        <v>7</v>
      </c>
      <c r="M4" s="195" t="s">
        <v>16</v>
      </c>
      <c r="N4" s="196">
        <v>0.3333333333333333</v>
      </c>
      <c r="O4" s="196">
        <v>0.625</v>
      </c>
      <c r="P4" s="89"/>
      <c r="Q4" s="197">
        <f t="shared" si="3"/>
        <v>7</v>
      </c>
      <c r="R4" s="195" t="s">
        <v>16</v>
      </c>
      <c r="S4" s="196">
        <v>0.3333333333333333</v>
      </c>
      <c r="T4" s="196">
        <v>0.625</v>
      </c>
      <c r="U4" s="89"/>
      <c r="V4" s="197">
        <f t="shared" si="4"/>
        <v>7</v>
      </c>
      <c r="W4" s="195" t="s">
        <v>16</v>
      </c>
      <c r="X4" s="196">
        <v>0.3333333333333333</v>
      </c>
      <c r="Y4" s="196">
        <v>0.625</v>
      </c>
      <c r="Z4" s="89"/>
      <c r="AA4" s="197">
        <f t="shared" si="5"/>
        <v>7</v>
      </c>
      <c r="AB4" s="195" t="s">
        <v>80</v>
      </c>
      <c r="AC4" s="196">
        <v>0.2916666666666667</v>
      </c>
      <c r="AD4" s="196">
        <v>0.625</v>
      </c>
      <c r="AE4" s="89"/>
      <c r="AF4" s="197">
        <f t="shared" ref="AF4:AF38" si="7">if(AD4-AC4 &lt; 0 , (AD4-AC4+1)*24, (AD4-AC4)*24)</f>
        <v>8</v>
      </c>
      <c r="AG4" s="33" t="s">
        <v>117</v>
      </c>
      <c r="AH4" s="198">
        <v>0.2916666666666667</v>
      </c>
      <c r="AI4" s="198">
        <v>0.5</v>
      </c>
      <c r="AJ4" s="199"/>
      <c r="AK4" s="72">
        <f t="shared" si="6"/>
        <v>5</v>
      </c>
      <c r="AL4" s="200"/>
    </row>
    <row r="5">
      <c r="A5" s="19" t="s">
        <v>78</v>
      </c>
      <c r="B5" s="19">
        <v>2.0</v>
      </c>
      <c r="C5" s="195" t="s">
        <v>125</v>
      </c>
      <c r="D5" s="196">
        <v>0.6111111111111112</v>
      </c>
      <c r="E5" s="196">
        <v>0.7777777777777778</v>
      </c>
      <c r="F5" s="89"/>
      <c r="G5" s="197">
        <f t="shared" si="1"/>
        <v>4</v>
      </c>
      <c r="H5" s="195" t="s">
        <v>125</v>
      </c>
      <c r="I5" s="196">
        <v>0.625</v>
      </c>
      <c r="J5" s="196">
        <v>0.8333333333333334</v>
      </c>
      <c r="K5" s="89"/>
      <c r="L5" s="197">
        <f t="shared" si="2"/>
        <v>5</v>
      </c>
      <c r="M5" s="195" t="s">
        <v>129</v>
      </c>
      <c r="N5" s="196">
        <v>0.625</v>
      </c>
      <c r="O5" s="196">
        <v>0.8333333333333334</v>
      </c>
      <c r="P5" s="89"/>
      <c r="Q5" s="197">
        <f t="shared" si="3"/>
        <v>5</v>
      </c>
      <c r="R5" s="195" t="s">
        <v>125</v>
      </c>
      <c r="S5" s="196">
        <v>0.625</v>
      </c>
      <c r="T5" s="196">
        <v>0.8333333333333334</v>
      </c>
      <c r="U5" s="89"/>
      <c r="V5" s="197">
        <f t="shared" si="4"/>
        <v>5</v>
      </c>
      <c r="W5" s="195" t="s">
        <v>125</v>
      </c>
      <c r="X5" s="196">
        <v>0.625</v>
      </c>
      <c r="Y5" s="196">
        <v>0.8333333333333334</v>
      </c>
      <c r="Z5" s="89"/>
      <c r="AA5" s="197">
        <f t="shared" si="5"/>
        <v>5</v>
      </c>
      <c r="AB5" s="195" t="s">
        <v>110</v>
      </c>
      <c r="AC5" s="196">
        <v>0.5833333333333334</v>
      </c>
      <c r="AD5" s="196">
        <v>0.8333333333333334</v>
      </c>
      <c r="AE5" s="89"/>
      <c r="AF5" s="197">
        <f t="shared" si="7"/>
        <v>6</v>
      </c>
      <c r="AG5" s="201" t="s">
        <v>133</v>
      </c>
      <c r="AH5" s="202">
        <v>0.5</v>
      </c>
      <c r="AI5" s="202">
        <v>0.7291666666666666</v>
      </c>
      <c r="AJ5" s="203"/>
      <c r="AK5" s="72">
        <f t="shared" si="6"/>
        <v>5.5</v>
      </c>
      <c r="AL5" s="200"/>
    </row>
    <row r="6">
      <c r="A6" s="19" t="s">
        <v>78</v>
      </c>
      <c r="B6" s="19">
        <v>3.0</v>
      </c>
      <c r="C6" s="204" t="s">
        <v>133</v>
      </c>
      <c r="D6" s="205">
        <v>0.7708333333333334</v>
      </c>
      <c r="E6" s="205">
        <v>0.9583333333333334</v>
      </c>
      <c r="F6" s="206"/>
      <c r="G6" s="197">
        <f t="shared" si="1"/>
        <v>4.5</v>
      </c>
      <c r="H6" s="195" t="s">
        <v>129</v>
      </c>
      <c r="I6" s="196">
        <v>0.7708333333333334</v>
      </c>
      <c r="J6" s="196">
        <v>0.9583333333333334</v>
      </c>
      <c r="K6" s="89"/>
      <c r="L6" s="197">
        <f t="shared" si="2"/>
        <v>4.5</v>
      </c>
      <c r="M6" s="204" t="s">
        <v>133</v>
      </c>
      <c r="N6" s="205">
        <v>0.7708333333333334</v>
      </c>
      <c r="O6" s="205">
        <v>0.9583333333333334</v>
      </c>
      <c r="P6" s="206"/>
      <c r="Q6" s="197">
        <f t="shared" si="3"/>
        <v>4.5</v>
      </c>
      <c r="R6" s="195" t="s">
        <v>129</v>
      </c>
      <c r="S6" s="196">
        <v>0.7708333333333334</v>
      </c>
      <c r="T6" s="196">
        <v>0.9583333333333334</v>
      </c>
      <c r="U6" s="89"/>
      <c r="V6" s="197">
        <f t="shared" si="4"/>
        <v>4.5</v>
      </c>
      <c r="W6" s="204" t="s">
        <v>133</v>
      </c>
      <c r="X6" s="205">
        <v>0.7708333333333334</v>
      </c>
      <c r="Y6" s="205">
        <v>0.9583333333333334</v>
      </c>
      <c r="Z6" s="206"/>
      <c r="AA6" s="197">
        <f t="shared" si="5"/>
        <v>4.5</v>
      </c>
      <c r="AB6" s="195" t="s">
        <v>50</v>
      </c>
      <c r="AC6" s="196">
        <v>0.7708333333333334</v>
      </c>
      <c r="AD6" s="196">
        <v>0.9583333333333334</v>
      </c>
      <c r="AE6" s="89"/>
      <c r="AF6" s="197">
        <f t="shared" si="7"/>
        <v>4.5</v>
      </c>
      <c r="AG6" s="195" t="s">
        <v>50</v>
      </c>
      <c r="AH6" s="196">
        <v>0.7291666666666666</v>
      </c>
      <c r="AI6" s="196">
        <v>0.9583333333333334</v>
      </c>
      <c r="AJ6" s="199"/>
      <c r="AK6" s="72">
        <f t="shared" si="6"/>
        <v>5.5</v>
      </c>
      <c r="AL6" s="200"/>
    </row>
    <row r="7">
      <c r="A7" s="19" t="s">
        <v>78</v>
      </c>
      <c r="B7" s="19">
        <v>4.0</v>
      </c>
      <c r="C7" s="195" t="s">
        <v>113</v>
      </c>
      <c r="D7" s="196">
        <v>0.9583333333333334</v>
      </c>
      <c r="E7" s="196">
        <v>0.3333333333333333</v>
      </c>
      <c r="F7" s="89"/>
      <c r="G7" s="197">
        <f t="shared" si="1"/>
        <v>9</v>
      </c>
      <c r="H7" s="195" t="s">
        <v>113</v>
      </c>
      <c r="I7" s="196">
        <v>0.9583333333333334</v>
      </c>
      <c r="J7" s="196">
        <v>0.3333333333333333</v>
      </c>
      <c r="K7" s="89"/>
      <c r="L7" s="197">
        <f t="shared" si="2"/>
        <v>9</v>
      </c>
      <c r="M7" s="195" t="s">
        <v>113</v>
      </c>
      <c r="N7" s="196">
        <v>0.9583333333333334</v>
      </c>
      <c r="O7" s="196">
        <v>0.3333333333333333</v>
      </c>
      <c r="P7" s="89"/>
      <c r="Q7" s="197">
        <f t="shared" si="3"/>
        <v>9</v>
      </c>
      <c r="R7" s="195" t="s">
        <v>113</v>
      </c>
      <c r="S7" s="196">
        <v>0.9583333333333334</v>
      </c>
      <c r="T7" s="196">
        <v>0.3333333333333333</v>
      </c>
      <c r="U7" s="89"/>
      <c r="V7" s="197">
        <f t="shared" si="4"/>
        <v>9</v>
      </c>
      <c r="W7" s="195" t="s">
        <v>121</v>
      </c>
      <c r="X7" s="196">
        <v>0.9583333333333334</v>
      </c>
      <c r="Y7" s="196">
        <v>0.2916666666666667</v>
      </c>
      <c r="Z7" s="89"/>
      <c r="AA7" s="197">
        <f t="shared" si="5"/>
        <v>8</v>
      </c>
      <c r="AB7" s="195" t="s">
        <v>113</v>
      </c>
      <c r="AC7" s="196">
        <v>0.9583333333333334</v>
      </c>
      <c r="AD7" s="196">
        <v>0.2916666666666667</v>
      </c>
      <c r="AE7" s="89"/>
      <c r="AF7" s="197">
        <f t="shared" si="7"/>
        <v>8</v>
      </c>
      <c r="AG7" s="195" t="s">
        <v>113</v>
      </c>
      <c r="AH7" s="196">
        <v>0.9583333333333334</v>
      </c>
      <c r="AI7" s="196">
        <v>0.3333333333333333</v>
      </c>
      <c r="AJ7" s="199"/>
      <c r="AK7" s="72">
        <f t="shared" si="6"/>
        <v>9</v>
      </c>
      <c r="AL7" s="200"/>
    </row>
    <row r="8">
      <c r="A8" s="19" t="s">
        <v>78</v>
      </c>
      <c r="B8" s="19">
        <v>5.0</v>
      </c>
      <c r="C8" s="88"/>
      <c r="D8" s="89"/>
      <c r="E8" s="89"/>
      <c r="F8" s="88"/>
      <c r="G8" s="197">
        <f t="shared" si="1"/>
        <v>0</v>
      </c>
      <c r="H8" s="88"/>
      <c r="I8" s="89"/>
      <c r="J8" s="89"/>
      <c r="K8" s="88"/>
      <c r="L8" s="197">
        <f t="shared" si="2"/>
        <v>0</v>
      </c>
      <c r="M8" s="88"/>
      <c r="N8" s="89"/>
      <c r="O8" s="89"/>
      <c r="P8" s="88"/>
      <c r="Q8" s="197">
        <f t="shared" si="3"/>
        <v>0</v>
      </c>
      <c r="R8" s="88"/>
      <c r="S8" s="89"/>
      <c r="T8" s="89"/>
      <c r="U8" s="88"/>
      <c r="V8" s="197">
        <f t="shared" si="4"/>
        <v>0</v>
      </c>
      <c r="W8" s="195"/>
      <c r="X8" s="196"/>
      <c r="Y8" s="196"/>
      <c r="Z8" s="195"/>
      <c r="AA8" s="197">
        <f t="shared" si="5"/>
        <v>0</v>
      </c>
      <c r="AB8" s="195"/>
      <c r="AC8" s="196"/>
      <c r="AD8" s="196"/>
      <c r="AE8" s="195"/>
      <c r="AF8" s="197">
        <f t="shared" si="7"/>
        <v>0</v>
      </c>
      <c r="AG8" s="33"/>
      <c r="AH8" s="198"/>
      <c r="AI8" s="198"/>
      <c r="AJ8" s="198"/>
      <c r="AK8" s="72">
        <f t="shared" si="6"/>
        <v>0</v>
      </c>
      <c r="AL8" s="200"/>
    </row>
    <row r="9">
      <c r="A9" s="70"/>
      <c r="B9" s="70" t="s">
        <v>77</v>
      </c>
      <c r="C9" s="207">
        <v>8.0</v>
      </c>
      <c r="D9" s="64"/>
      <c r="E9" s="64"/>
      <c r="F9" s="63"/>
      <c r="G9" s="197">
        <f t="shared" si="1"/>
        <v>0</v>
      </c>
      <c r="H9" s="207">
        <v>9.0</v>
      </c>
      <c r="I9" s="64"/>
      <c r="J9" s="64"/>
      <c r="K9" s="63"/>
      <c r="L9" s="197">
        <f t="shared" si="2"/>
        <v>0</v>
      </c>
      <c r="M9" s="207">
        <v>10.0</v>
      </c>
      <c r="N9" s="64"/>
      <c r="O9" s="64"/>
      <c r="P9" s="63"/>
      <c r="Q9" s="197">
        <f t="shared" si="3"/>
        <v>0</v>
      </c>
      <c r="R9" s="207">
        <v>11.0</v>
      </c>
      <c r="S9" s="64"/>
      <c r="T9" s="64"/>
      <c r="U9" s="63"/>
      <c r="V9" s="197">
        <f t="shared" si="4"/>
        <v>0</v>
      </c>
      <c r="W9" s="207">
        <v>12.0</v>
      </c>
      <c r="X9" s="64"/>
      <c r="Y9" s="64"/>
      <c r="Z9" s="63"/>
      <c r="AA9" s="197">
        <f t="shared" si="5"/>
        <v>0</v>
      </c>
      <c r="AB9" s="208">
        <v>13.0</v>
      </c>
      <c r="AC9" s="64"/>
      <c r="AD9" s="64"/>
      <c r="AE9" s="63"/>
      <c r="AF9" s="197">
        <f t="shared" si="7"/>
        <v>0</v>
      </c>
      <c r="AG9" s="209">
        <v>14.0</v>
      </c>
      <c r="AH9" s="64"/>
      <c r="AI9" s="64"/>
      <c r="AJ9" s="63"/>
      <c r="AK9" s="72">
        <f t="shared" si="6"/>
        <v>0</v>
      </c>
      <c r="AL9" s="193"/>
    </row>
    <row r="10">
      <c r="A10" s="19" t="s">
        <v>81</v>
      </c>
      <c r="B10" s="19">
        <v>1.0</v>
      </c>
      <c r="C10" s="195" t="s">
        <v>16</v>
      </c>
      <c r="D10" s="196">
        <v>0.3333333333333333</v>
      </c>
      <c r="E10" s="196">
        <v>0.625</v>
      </c>
      <c r="F10" s="89"/>
      <c r="G10" s="197">
        <f t="shared" si="1"/>
        <v>7</v>
      </c>
      <c r="H10" s="195" t="s">
        <v>16</v>
      </c>
      <c r="I10" s="196">
        <v>0.3333333333333333</v>
      </c>
      <c r="J10" s="196">
        <v>0.625</v>
      </c>
      <c r="K10" s="89"/>
      <c r="L10" s="197">
        <f t="shared" si="2"/>
        <v>7</v>
      </c>
      <c r="M10" s="195" t="s">
        <v>16</v>
      </c>
      <c r="N10" s="196">
        <v>0.3333333333333333</v>
      </c>
      <c r="O10" s="196">
        <v>0.625</v>
      </c>
      <c r="P10" s="89"/>
      <c r="Q10" s="197">
        <f t="shared" si="3"/>
        <v>7</v>
      </c>
      <c r="R10" s="195" t="s">
        <v>16</v>
      </c>
      <c r="S10" s="196">
        <v>0.3333333333333333</v>
      </c>
      <c r="T10" s="196">
        <v>0.625</v>
      </c>
      <c r="U10" s="89"/>
      <c r="V10" s="197">
        <f t="shared" si="4"/>
        <v>7</v>
      </c>
      <c r="W10" s="195" t="s">
        <v>16</v>
      </c>
      <c r="X10" s="196">
        <v>0.3333333333333333</v>
      </c>
      <c r="Y10" s="196">
        <v>0.625</v>
      </c>
      <c r="Z10" s="89"/>
      <c r="AA10" s="197">
        <f t="shared" si="5"/>
        <v>7</v>
      </c>
      <c r="AB10" s="195" t="s">
        <v>80</v>
      </c>
      <c r="AC10" s="196">
        <v>0.2916666666666667</v>
      </c>
      <c r="AD10" s="196">
        <v>0.625</v>
      </c>
      <c r="AE10" s="89"/>
      <c r="AF10" s="197">
        <f t="shared" si="7"/>
        <v>8</v>
      </c>
      <c r="AG10" s="33" t="s">
        <v>117</v>
      </c>
      <c r="AH10" s="198">
        <v>0.2916666666666667</v>
      </c>
      <c r="AI10" s="198">
        <v>0.5</v>
      </c>
      <c r="AJ10" s="199"/>
      <c r="AK10" s="72">
        <f t="shared" si="6"/>
        <v>5</v>
      </c>
      <c r="AL10" s="193"/>
    </row>
    <row r="11">
      <c r="A11" s="19" t="s">
        <v>81</v>
      </c>
      <c r="B11" s="19">
        <v>2.0</v>
      </c>
      <c r="C11" s="195" t="s">
        <v>125</v>
      </c>
      <c r="D11" s="196">
        <v>0.625</v>
      </c>
      <c r="E11" s="196">
        <v>0.8333333333333334</v>
      </c>
      <c r="F11" s="89"/>
      <c r="G11" s="197">
        <f t="shared" si="1"/>
        <v>5</v>
      </c>
      <c r="H11" s="195" t="s">
        <v>125</v>
      </c>
      <c r="I11" s="196">
        <v>0.6041666666666666</v>
      </c>
      <c r="J11" s="196">
        <v>0.8125</v>
      </c>
      <c r="K11" s="89"/>
      <c r="L11" s="197">
        <f t="shared" si="2"/>
        <v>5</v>
      </c>
      <c r="M11" s="195" t="s">
        <v>125</v>
      </c>
      <c r="N11" s="196">
        <v>0.625</v>
      </c>
      <c r="O11" s="196">
        <v>0.8333333333333334</v>
      </c>
      <c r="P11" s="89"/>
      <c r="Q11" s="197">
        <f t="shared" si="3"/>
        <v>5</v>
      </c>
      <c r="R11" s="195" t="s">
        <v>125</v>
      </c>
      <c r="S11" s="196">
        <v>0.625</v>
      </c>
      <c r="T11" s="196">
        <v>0.8333333333333334</v>
      </c>
      <c r="U11" s="89"/>
      <c r="V11" s="197">
        <f t="shared" si="4"/>
        <v>5</v>
      </c>
      <c r="W11" s="195" t="s">
        <v>125</v>
      </c>
      <c r="X11" s="196">
        <v>0.625</v>
      </c>
      <c r="Y11" s="196">
        <v>0.8333333333333334</v>
      </c>
      <c r="Z11" s="195"/>
      <c r="AA11" s="197">
        <f t="shared" si="5"/>
        <v>5</v>
      </c>
      <c r="AB11" s="195" t="s">
        <v>110</v>
      </c>
      <c r="AC11" s="196">
        <v>0.5833333333333334</v>
      </c>
      <c r="AD11" s="196">
        <v>0.8333333333333334</v>
      </c>
      <c r="AE11" s="89"/>
      <c r="AF11" s="197">
        <f t="shared" si="7"/>
        <v>6</v>
      </c>
      <c r="AG11" s="33" t="s">
        <v>110</v>
      </c>
      <c r="AH11" s="198">
        <v>0.5</v>
      </c>
      <c r="AI11" s="198">
        <v>0.7708333333333334</v>
      </c>
      <c r="AJ11" s="199"/>
      <c r="AK11" s="72">
        <f t="shared" si="6"/>
        <v>6.5</v>
      </c>
      <c r="AL11" s="193"/>
    </row>
    <row r="12">
      <c r="A12" s="19" t="s">
        <v>81</v>
      </c>
      <c r="B12" s="19">
        <v>3.0</v>
      </c>
      <c r="C12" s="204" t="s">
        <v>133</v>
      </c>
      <c r="D12" s="205">
        <v>0.7708333333333334</v>
      </c>
      <c r="E12" s="205">
        <v>0.9583333333333334</v>
      </c>
      <c r="F12" s="206"/>
      <c r="G12" s="197">
        <f t="shared" si="1"/>
        <v>4.5</v>
      </c>
      <c r="H12" s="195" t="s">
        <v>129</v>
      </c>
      <c r="I12" s="196">
        <v>0.7708333333333334</v>
      </c>
      <c r="J12" s="196">
        <v>0.9583333333333334</v>
      </c>
      <c r="K12" s="89"/>
      <c r="L12" s="197">
        <f t="shared" si="2"/>
        <v>4.5</v>
      </c>
      <c r="M12" s="204" t="s">
        <v>133</v>
      </c>
      <c r="N12" s="205">
        <v>0.7708333333333334</v>
      </c>
      <c r="O12" s="205">
        <v>0.9583333333333334</v>
      </c>
      <c r="P12" s="206"/>
      <c r="Q12" s="197">
        <f t="shared" si="3"/>
        <v>4.5</v>
      </c>
      <c r="R12" s="195" t="s">
        <v>129</v>
      </c>
      <c r="S12" s="196">
        <v>0.7708333333333334</v>
      </c>
      <c r="T12" s="196">
        <v>0.9583333333333334</v>
      </c>
      <c r="U12" s="89"/>
      <c r="V12" s="197">
        <f t="shared" si="4"/>
        <v>4.5</v>
      </c>
      <c r="W12" s="195" t="s">
        <v>129</v>
      </c>
      <c r="X12" s="196">
        <v>0.7708333333333334</v>
      </c>
      <c r="Y12" s="196">
        <v>0.9583333333333334</v>
      </c>
      <c r="Z12" s="89"/>
      <c r="AA12" s="197">
        <f t="shared" si="5"/>
        <v>4.5</v>
      </c>
      <c r="AB12" s="195" t="s">
        <v>50</v>
      </c>
      <c r="AC12" s="196">
        <v>0.7708333333333334</v>
      </c>
      <c r="AD12" s="196">
        <v>0.9583333333333334</v>
      </c>
      <c r="AE12" s="89"/>
      <c r="AF12" s="197">
        <f t="shared" si="7"/>
        <v>4.5</v>
      </c>
      <c r="AG12" s="195" t="s">
        <v>50</v>
      </c>
      <c r="AH12" s="196">
        <v>0.7708333333333334</v>
      </c>
      <c r="AI12" s="196">
        <v>0.9583333333333334</v>
      </c>
      <c r="AJ12" s="199"/>
      <c r="AK12" s="72">
        <f t="shared" si="6"/>
        <v>4.5</v>
      </c>
      <c r="AL12" s="193"/>
    </row>
    <row r="13">
      <c r="A13" s="19" t="s">
        <v>81</v>
      </c>
      <c r="B13" s="19">
        <v>4.0</v>
      </c>
      <c r="C13" s="195" t="s">
        <v>113</v>
      </c>
      <c r="D13" s="196">
        <v>0.9583333333333334</v>
      </c>
      <c r="E13" s="196">
        <v>0.375</v>
      </c>
      <c r="F13" s="89"/>
      <c r="G13" s="197">
        <f t="shared" si="1"/>
        <v>10</v>
      </c>
      <c r="H13" s="195" t="s">
        <v>113</v>
      </c>
      <c r="I13" s="196">
        <v>0.9583333333333334</v>
      </c>
      <c r="J13" s="196">
        <v>0.375</v>
      </c>
      <c r="K13" s="89"/>
      <c r="L13" s="197">
        <f t="shared" si="2"/>
        <v>10</v>
      </c>
      <c r="M13" s="195" t="s">
        <v>113</v>
      </c>
      <c r="N13" s="196">
        <v>0.9583333333333334</v>
      </c>
      <c r="O13" s="196">
        <v>0.375</v>
      </c>
      <c r="P13" s="89"/>
      <c r="Q13" s="197">
        <f t="shared" si="3"/>
        <v>10</v>
      </c>
      <c r="R13" s="195" t="s">
        <v>113</v>
      </c>
      <c r="S13" s="196">
        <v>0.9583333333333334</v>
      </c>
      <c r="T13" s="196">
        <v>0.375</v>
      </c>
      <c r="U13" s="89"/>
      <c r="V13" s="197">
        <f t="shared" si="4"/>
        <v>10</v>
      </c>
      <c r="W13" s="195" t="s">
        <v>121</v>
      </c>
      <c r="X13" s="196">
        <v>0.9583333333333334</v>
      </c>
      <c r="Y13" s="196">
        <v>0.2916666666666667</v>
      </c>
      <c r="Z13" s="89"/>
      <c r="AA13" s="197">
        <f t="shared" si="5"/>
        <v>8</v>
      </c>
      <c r="AB13" s="195" t="s">
        <v>121</v>
      </c>
      <c r="AC13" s="196">
        <v>0.9583333333333334</v>
      </c>
      <c r="AD13" s="196">
        <v>0.2916666666666667</v>
      </c>
      <c r="AE13" s="88"/>
      <c r="AF13" s="197">
        <f t="shared" si="7"/>
        <v>8</v>
      </c>
      <c r="AG13" s="195" t="s">
        <v>113</v>
      </c>
      <c r="AH13" s="196">
        <v>0.9583333333333334</v>
      </c>
      <c r="AI13" s="196">
        <v>0.3541666666666667</v>
      </c>
      <c r="AJ13" s="199"/>
      <c r="AK13" s="72">
        <f t="shared" si="6"/>
        <v>9.5</v>
      </c>
      <c r="AL13" s="193"/>
    </row>
    <row r="14">
      <c r="A14" s="19" t="s">
        <v>81</v>
      </c>
      <c r="B14" s="19">
        <v>5.0</v>
      </c>
      <c r="C14" s="96"/>
      <c r="D14" s="96"/>
      <c r="E14" s="96"/>
      <c r="F14" s="96"/>
      <c r="G14" s="197">
        <f t="shared" si="1"/>
        <v>0</v>
      </c>
      <c r="H14" s="96"/>
      <c r="I14" s="96"/>
      <c r="J14" s="96"/>
      <c r="K14" s="96"/>
      <c r="L14" s="197">
        <f t="shared" si="2"/>
        <v>0</v>
      </c>
      <c r="M14" s="195"/>
      <c r="N14" s="196"/>
      <c r="O14" s="196"/>
      <c r="P14" s="96"/>
      <c r="Q14" s="197">
        <f t="shared" si="3"/>
        <v>0</v>
      </c>
      <c r="R14" s="96"/>
      <c r="S14" s="96"/>
      <c r="T14" s="96"/>
      <c r="U14" s="96"/>
      <c r="V14" s="197">
        <f t="shared" si="4"/>
        <v>0</v>
      </c>
      <c r="W14" s="96"/>
      <c r="X14" s="96"/>
      <c r="Y14" s="96"/>
      <c r="Z14" s="96"/>
      <c r="AA14" s="197">
        <f t="shared" si="5"/>
        <v>0</v>
      </c>
      <c r="AB14" s="33"/>
      <c r="AC14" s="198"/>
      <c r="AD14" s="198"/>
      <c r="AE14" s="33"/>
      <c r="AF14" s="197">
        <f t="shared" si="7"/>
        <v>0</v>
      </c>
      <c r="AG14" s="33"/>
      <c r="AH14" s="198"/>
      <c r="AI14" s="198"/>
      <c r="AJ14" s="198"/>
      <c r="AK14" s="72">
        <f t="shared" si="6"/>
        <v>0</v>
      </c>
      <c r="AL14" s="193"/>
    </row>
    <row r="15">
      <c r="A15" s="70"/>
      <c r="B15" s="70" t="s">
        <v>77</v>
      </c>
      <c r="C15" s="207">
        <v>15.0</v>
      </c>
      <c r="D15" s="64"/>
      <c r="E15" s="64"/>
      <c r="F15" s="63"/>
      <c r="G15" s="197">
        <f t="shared" si="1"/>
        <v>0</v>
      </c>
      <c r="H15" s="207">
        <v>16.0</v>
      </c>
      <c r="I15" s="64"/>
      <c r="J15" s="64"/>
      <c r="K15" s="63"/>
      <c r="L15" s="197">
        <f t="shared" si="2"/>
        <v>0</v>
      </c>
      <c r="M15" s="207">
        <v>17.0</v>
      </c>
      <c r="N15" s="64"/>
      <c r="O15" s="64"/>
      <c r="P15" s="63"/>
      <c r="Q15" s="197">
        <f t="shared" si="3"/>
        <v>0</v>
      </c>
      <c r="R15" s="207">
        <v>18.0</v>
      </c>
      <c r="S15" s="64"/>
      <c r="T15" s="64"/>
      <c r="U15" s="63"/>
      <c r="V15" s="197">
        <f t="shared" si="4"/>
        <v>0</v>
      </c>
      <c r="W15" s="207">
        <v>19.0</v>
      </c>
      <c r="X15" s="64"/>
      <c r="Y15" s="64"/>
      <c r="Z15" s="63"/>
      <c r="AA15" s="197">
        <f t="shared" si="5"/>
        <v>0</v>
      </c>
      <c r="AB15" s="208">
        <v>20.0</v>
      </c>
      <c r="AC15" s="64"/>
      <c r="AD15" s="64"/>
      <c r="AE15" s="63"/>
      <c r="AF15" s="197">
        <f t="shared" si="7"/>
        <v>0</v>
      </c>
      <c r="AG15" s="209">
        <v>21.0</v>
      </c>
      <c r="AH15" s="64"/>
      <c r="AI15" s="64"/>
      <c r="AJ15" s="63"/>
      <c r="AK15" s="72">
        <f t="shared" si="6"/>
        <v>0</v>
      </c>
      <c r="AL15" s="193"/>
    </row>
    <row r="16">
      <c r="A16" s="19" t="s">
        <v>82</v>
      </c>
      <c r="B16" s="33">
        <v>1.0</v>
      </c>
      <c r="C16" s="195" t="s">
        <v>16</v>
      </c>
      <c r="D16" s="196">
        <v>0.3333333333333333</v>
      </c>
      <c r="E16" s="196">
        <v>0.625</v>
      </c>
      <c r="F16" s="89"/>
      <c r="G16" s="197">
        <f t="shared" si="1"/>
        <v>7</v>
      </c>
      <c r="H16" s="195" t="s">
        <v>16</v>
      </c>
      <c r="I16" s="196">
        <v>0.3333333333333333</v>
      </c>
      <c r="J16" s="196">
        <v>0.9583333333333334</v>
      </c>
      <c r="K16" s="89"/>
      <c r="L16" s="197">
        <f t="shared" si="2"/>
        <v>15</v>
      </c>
      <c r="M16" s="195" t="s">
        <v>16</v>
      </c>
      <c r="N16" s="196">
        <v>0.3333333333333333</v>
      </c>
      <c r="O16" s="196">
        <v>0.625</v>
      </c>
      <c r="P16" s="89"/>
      <c r="Q16" s="197">
        <f t="shared" si="3"/>
        <v>7</v>
      </c>
      <c r="R16" s="195" t="s">
        <v>16</v>
      </c>
      <c r="S16" s="196">
        <v>0.3333333333333333</v>
      </c>
      <c r="T16" s="196">
        <v>0.625</v>
      </c>
      <c r="U16" s="89"/>
      <c r="V16" s="197">
        <f t="shared" si="4"/>
        <v>7</v>
      </c>
      <c r="W16" s="195" t="s">
        <v>16</v>
      </c>
      <c r="X16" s="196">
        <v>0.3333333333333333</v>
      </c>
      <c r="Y16" s="196">
        <v>0.625</v>
      </c>
      <c r="Z16" s="89"/>
      <c r="AA16" s="197">
        <f t="shared" si="5"/>
        <v>7</v>
      </c>
      <c r="AB16" s="195" t="s">
        <v>80</v>
      </c>
      <c r="AC16" s="196">
        <v>0.2916666666666667</v>
      </c>
      <c r="AD16" s="196">
        <v>0.625</v>
      </c>
      <c r="AE16" s="89"/>
      <c r="AF16" s="197">
        <f t="shared" si="7"/>
        <v>8</v>
      </c>
      <c r="AG16" s="195" t="s">
        <v>117</v>
      </c>
      <c r="AH16" s="196">
        <v>0.2916666666666667</v>
      </c>
      <c r="AI16" s="196">
        <v>0.4583333333333333</v>
      </c>
      <c r="AJ16" s="89"/>
      <c r="AK16" s="72">
        <f t="shared" si="6"/>
        <v>4</v>
      </c>
      <c r="AL16" s="193"/>
    </row>
    <row r="17">
      <c r="A17" s="19" t="s">
        <v>82</v>
      </c>
      <c r="B17" s="33">
        <v>2.0</v>
      </c>
      <c r="C17" s="195" t="s">
        <v>125</v>
      </c>
      <c r="D17" s="196">
        <v>0.625</v>
      </c>
      <c r="E17" s="196">
        <v>0.8333333333333334</v>
      </c>
      <c r="F17" s="89"/>
      <c r="G17" s="197">
        <f t="shared" si="1"/>
        <v>5</v>
      </c>
      <c r="H17" s="195" t="s">
        <v>125</v>
      </c>
      <c r="I17" s="196">
        <v>0.625</v>
      </c>
      <c r="J17" s="196">
        <v>0.9583333333333334</v>
      </c>
      <c r="K17" s="89"/>
      <c r="L17" s="197">
        <f t="shared" si="2"/>
        <v>8</v>
      </c>
      <c r="M17" s="195" t="s">
        <v>125</v>
      </c>
      <c r="N17" s="196">
        <v>0.625</v>
      </c>
      <c r="O17" s="196">
        <v>0.8333333333333334</v>
      </c>
      <c r="P17" s="89"/>
      <c r="Q17" s="197">
        <f t="shared" si="3"/>
        <v>5</v>
      </c>
      <c r="R17" s="195" t="s">
        <v>125</v>
      </c>
      <c r="S17" s="196">
        <v>0.625</v>
      </c>
      <c r="T17" s="196">
        <v>0.9583333333333334</v>
      </c>
      <c r="U17" s="89"/>
      <c r="V17" s="197">
        <f t="shared" si="4"/>
        <v>8</v>
      </c>
      <c r="W17" s="195" t="s">
        <v>125</v>
      </c>
      <c r="X17" s="196">
        <v>0.625</v>
      </c>
      <c r="Y17" s="196">
        <v>0.9583333333333334</v>
      </c>
      <c r="Z17" s="89"/>
      <c r="AA17" s="197">
        <f t="shared" si="5"/>
        <v>8</v>
      </c>
      <c r="AB17" s="195" t="s">
        <v>110</v>
      </c>
      <c r="AC17" s="196">
        <v>0.5833333333333334</v>
      </c>
      <c r="AD17" s="196">
        <v>0.8333333333333334</v>
      </c>
      <c r="AE17" s="195"/>
      <c r="AF17" s="197">
        <f t="shared" si="7"/>
        <v>6</v>
      </c>
      <c r="AG17" s="195" t="s">
        <v>110</v>
      </c>
      <c r="AH17" s="196">
        <v>0.4583333333333333</v>
      </c>
      <c r="AI17" s="198">
        <v>0.7708333333333334</v>
      </c>
      <c r="AJ17" s="89"/>
      <c r="AK17" s="72">
        <f t="shared" si="6"/>
        <v>7.5</v>
      </c>
      <c r="AL17" s="193"/>
    </row>
    <row r="18">
      <c r="A18" s="19" t="s">
        <v>82</v>
      </c>
      <c r="B18" s="33">
        <v>3.0</v>
      </c>
      <c r="C18" s="204" t="s">
        <v>133</v>
      </c>
      <c r="D18" s="205">
        <v>0.7708333333333334</v>
      </c>
      <c r="E18" s="205">
        <v>0.9583333333333334</v>
      </c>
      <c r="F18" s="204" t="s">
        <v>144</v>
      </c>
      <c r="G18" s="197">
        <f t="shared" si="1"/>
        <v>4.5</v>
      </c>
      <c r="H18" s="195" t="s">
        <v>113</v>
      </c>
      <c r="I18" s="196">
        <v>0.9583333333333334</v>
      </c>
      <c r="J18" s="196">
        <v>0.3333333333333333</v>
      </c>
      <c r="K18" s="195"/>
      <c r="L18" s="197">
        <f t="shared" si="2"/>
        <v>9</v>
      </c>
      <c r="M18" s="195" t="s">
        <v>129</v>
      </c>
      <c r="N18" s="196">
        <v>0.7708333333333334</v>
      </c>
      <c r="O18" s="196">
        <v>0.9583333333333334</v>
      </c>
      <c r="P18" s="195"/>
      <c r="Q18" s="197">
        <f t="shared" si="3"/>
        <v>4.5</v>
      </c>
      <c r="R18" s="195" t="s">
        <v>129</v>
      </c>
      <c r="S18" s="196">
        <v>0.7708333333333334</v>
      </c>
      <c r="T18" s="196">
        <v>0.9583333333333334</v>
      </c>
      <c r="U18" s="195"/>
      <c r="V18" s="197">
        <f t="shared" si="4"/>
        <v>4.5</v>
      </c>
      <c r="W18" s="195" t="s">
        <v>121</v>
      </c>
      <c r="X18" s="196">
        <v>0.9583333333333334</v>
      </c>
      <c r="Y18" s="196">
        <v>0.2916666666666667</v>
      </c>
      <c r="Z18" s="195"/>
      <c r="AA18" s="197">
        <f t="shared" si="5"/>
        <v>8</v>
      </c>
      <c r="AB18" s="195" t="s">
        <v>50</v>
      </c>
      <c r="AC18" s="196">
        <v>0.7708333333333334</v>
      </c>
      <c r="AD18" s="196">
        <v>0.9583333333333334</v>
      </c>
      <c r="AE18" s="89"/>
      <c r="AF18" s="197">
        <f t="shared" si="7"/>
        <v>4.5</v>
      </c>
      <c r="AG18" s="195" t="s">
        <v>50</v>
      </c>
      <c r="AH18" s="196">
        <v>0.7708333333333334</v>
      </c>
      <c r="AI18" s="196">
        <v>0.9583333333333334</v>
      </c>
      <c r="AJ18" s="89"/>
      <c r="AK18" s="72">
        <f t="shared" si="6"/>
        <v>4.5</v>
      </c>
      <c r="AL18" s="193"/>
    </row>
    <row r="19">
      <c r="A19" s="19" t="s">
        <v>82</v>
      </c>
      <c r="B19" s="33">
        <v>4.0</v>
      </c>
      <c r="C19" s="195" t="s">
        <v>113</v>
      </c>
      <c r="D19" s="196">
        <v>0.9583333333333334</v>
      </c>
      <c r="E19" s="196">
        <v>0.3333333333333333</v>
      </c>
      <c r="F19" s="89"/>
      <c r="G19" s="197">
        <f t="shared" si="1"/>
        <v>9</v>
      </c>
      <c r="H19" s="195"/>
      <c r="I19" s="196"/>
      <c r="J19" s="196"/>
      <c r="K19" s="89"/>
      <c r="L19" s="197">
        <f t="shared" si="2"/>
        <v>0</v>
      </c>
      <c r="M19" s="195" t="s">
        <v>113</v>
      </c>
      <c r="N19" s="196">
        <v>0.9583333333333334</v>
      </c>
      <c r="O19" s="196">
        <v>0.375</v>
      </c>
      <c r="P19" s="89"/>
      <c r="Q19" s="197">
        <f t="shared" si="3"/>
        <v>10</v>
      </c>
      <c r="R19" s="195" t="s">
        <v>113</v>
      </c>
      <c r="S19" s="196">
        <v>0.9583333333333334</v>
      </c>
      <c r="T19" s="196">
        <v>0.3333333333333333</v>
      </c>
      <c r="U19" s="89"/>
      <c r="V19" s="197">
        <f t="shared" si="4"/>
        <v>9</v>
      </c>
      <c r="W19" s="195"/>
      <c r="X19" s="196"/>
      <c r="Y19" s="196"/>
      <c r="Z19" s="89"/>
      <c r="AA19" s="197">
        <f t="shared" si="5"/>
        <v>0</v>
      </c>
      <c r="AB19" s="195" t="s">
        <v>121</v>
      </c>
      <c r="AC19" s="196">
        <v>0.9583333333333334</v>
      </c>
      <c r="AD19" s="196">
        <v>0.2916666666666667</v>
      </c>
      <c r="AE19" s="88"/>
      <c r="AF19" s="197">
        <f t="shared" si="7"/>
        <v>8</v>
      </c>
      <c r="AG19" s="195" t="s">
        <v>113</v>
      </c>
      <c r="AH19" s="196">
        <v>0.9583333333333334</v>
      </c>
      <c r="AI19" s="196">
        <v>0.3333333333333333</v>
      </c>
      <c r="AJ19" s="88"/>
      <c r="AK19" s="72">
        <f t="shared" si="6"/>
        <v>9</v>
      </c>
      <c r="AL19" s="193"/>
    </row>
    <row r="20">
      <c r="A20" s="19" t="s">
        <v>82</v>
      </c>
      <c r="B20" s="33">
        <v>5.0</v>
      </c>
      <c r="C20" s="96"/>
      <c r="D20" s="96"/>
      <c r="E20" s="96"/>
      <c r="F20" s="96"/>
      <c r="G20" s="197">
        <f t="shared" si="1"/>
        <v>0</v>
      </c>
      <c r="H20" s="96"/>
      <c r="I20" s="96"/>
      <c r="J20" s="96"/>
      <c r="K20" s="96"/>
      <c r="L20" s="197">
        <f t="shared" si="2"/>
        <v>0</v>
      </c>
      <c r="M20" s="96"/>
      <c r="N20" s="96"/>
      <c r="O20" s="96"/>
      <c r="P20" s="96"/>
      <c r="Q20" s="197">
        <f t="shared" si="3"/>
        <v>0</v>
      </c>
      <c r="R20" s="96"/>
      <c r="S20" s="96"/>
      <c r="T20" s="96"/>
      <c r="U20" s="96"/>
      <c r="V20" s="197">
        <f t="shared" si="4"/>
        <v>0</v>
      </c>
      <c r="W20" s="96"/>
      <c r="X20" s="96"/>
      <c r="Y20" s="96"/>
      <c r="Z20" s="96"/>
      <c r="AA20" s="197">
        <f t="shared" si="5"/>
        <v>0</v>
      </c>
      <c r="AB20" s="195"/>
      <c r="AC20" s="196"/>
      <c r="AD20" s="196"/>
      <c r="AE20" s="33"/>
      <c r="AF20" s="197">
        <f t="shared" si="7"/>
        <v>0</v>
      </c>
      <c r="AG20" s="33"/>
      <c r="AH20" s="198"/>
      <c r="AI20" s="198"/>
      <c r="AJ20" s="198"/>
      <c r="AK20" s="72">
        <f t="shared" si="6"/>
        <v>0</v>
      </c>
      <c r="AL20" s="193"/>
    </row>
    <row r="21">
      <c r="A21" s="70"/>
      <c r="B21" s="70" t="s">
        <v>77</v>
      </c>
      <c r="C21" s="207">
        <v>22.0</v>
      </c>
      <c r="D21" s="64"/>
      <c r="E21" s="64"/>
      <c r="F21" s="63"/>
      <c r="G21" s="197">
        <f t="shared" si="1"/>
        <v>0</v>
      </c>
      <c r="H21" s="207">
        <v>23.0</v>
      </c>
      <c r="I21" s="64"/>
      <c r="J21" s="64"/>
      <c r="K21" s="63"/>
      <c r="L21" s="197">
        <f t="shared" si="2"/>
        <v>0</v>
      </c>
      <c r="M21" s="207">
        <v>24.0</v>
      </c>
      <c r="N21" s="64"/>
      <c r="O21" s="64"/>
      <c r="P21" s="63"/>
      <c r="Q21" s="197">
        <f t="shared" si="3"/>
        <v>0</v>
      </c>
      <c r="R21" s="207">
        <v>25.0</v>
      </c>
      <c r="S21" s="64"/>
      <c r="T21" s="64"/>
      <c r="U21" s="63"/>
      <c r="V21" s="197">
        <f t="shared" si="4"/>
        <v>0</v>
      </c>
      <c r="W21" s="207">
        <v>26.0</v>
      </c>
      <c r="X21" s="64"/>
      <c r="Y21" s="64"/>
      <c r="Z21" s="63"/>
      <c r="AA21" s="197">
        <f t="shared" si="5"/>
        <v>0</v>
      </c>
      <c r="AB21" s="208">
        <v>27.0</v>
      </c>
      <c r="AC21" s="64"/>
      <c r="AD21" s="64"/>
      <c r="AE21" s="63"/>
      <c r="AF21" s="197">
        <f t="shared" si="7"/>
        <v>0</v>
      </c>
      <c r="AG21" s="209">
        <v>28.0</v>
      </c>
      <c r="AH21" s="64"/>
      <c r="AI21" s="64"/>
      <c r="AJ21" s="63"/>
      <c r="AK21" s="72">
        <f t="shared" si="6"/>
        <v>0</v>
      </c>
      <c r="AL21" s="193"/>
    </row>
    <row r="22">
      <c r="A22" s="19" t="s">
        <v>83</v>
      </c>
      <c r="B22" s="19">
        <v>1.0</v>
      </c>
      <c r="C22" s="195" t="s">
        <v>16</v>
      </c>
      <c r="D22" s="196">
        <v>0.3333333333333333</v>
      </c>
      <c r="E22" s="196">
        <v>0.625</v>
      </c>
      <c r="F22" s="89"/>
      <c r="G22" s="197">
        <f t="shared" si="1"/>
        <v>7</v>
      </c>
      <c r="H22" s="195" t="s">
        <v>16</v>
      </c>
      <c r="I22" s="196">
        <v>0.3333333333333333</v>
      </c>
      <c r="J22" s="196">
        <v>0.625</v>
      </c>
      <c r="K22" s="89"/>
      <c r="L22" s="197">
        <f t="shared" si="2"/>
        <v>7</v>
      </c>
      <c r="M22" s="195" t="s">
        <v>16</v>
      </c>
      <c r="N22" s="196">
        <v>0.3333333333333333</v>
      </c>
      <c r="O22" s="196">
        <v>0.625</v>
      </c>
      <c r="P22" s="89"/>
      <c r="Q22" s="197">
        <f t="shared" si="3"/>
        <v>7</v>
      </c>
      <c r="R22" s="195" t="s">
        <v>16</v>
      </c>
      <c r="S22" s="196">
        <v>0.3333333333333333</v>
      </c>
      <c r="T22" s="196">
        <v>0.625</v>
      </c>
      <c r="U22" s="89"/>
      <c r="V22" s="197">
        <f t="shared" si="4"/>
        <v>7</v>
      </c>
      <c r="W22" s="195" t="s">
        <v>16</v>
      </c>
      <c r="X22" s="196">
        <v>0.3333333333333333</v>
      </c>
      <c r="Y22" s="196">
        <v>0.625</v>
      </c>
      <c r="Z22" s="89"/>
      <c r="AA22" s="197">
        <f t="shared" si="5"/>
        <v>7</v>
      </c>
      <c r="AB22" s="195" t="s">
        <v>80</v>
      </c>
      <c r="AC22" s="196">
        <v>0.2916666666666667</v>
      </c>
      <c r="AD22" s="196">
        <v>0.625</v>
      </c>
      <c r="AE22" s="89"/>
      <c r="AF22" s="197">
        <f t="shared" si="7"/>
        <v>8</v>
      </c>
      <c r="AG22" s="33" t="s">
        <v>117</v>
      </c>
      <c r="AH22" s="196">
        <v>0.2916666666666667</v>
      </c>
      <c r="AI22" s="196">
        <v>0.5</v>
      </c>
      <c r="AJ22" s="199"/>
      <c r="AK22" s="197">
        <f t="shared" si="6"/>
        <v>5</v>
      </c>
      <c r="AL22" s="193"/>
    </row>
    <row r="23">
      <c r="A23" s="19" t="s">
        <v>83</v>
      </c>
      <c r="B23" s="19">
        <v>2.0</v>
      </c>
      <c r="C23" s="195" t="s">
        <v>125</v>
      </c>
      <c r="D23" s="196">
        <v>0.625</v>
      </c>
      <c r="E23" s="196">
        <v>0.8125</v>
      </c>
      <c r="F23" s="89"/>
      <c r="G23" s="197">
        <f t="shared" si="1"/>
        <v>4.5</v>
      </c>
      <c r="H23" s="195" t="s">
        <v>125</v>
      </c>
      <c r="I23" s="196">
        <v>0.625</v>
      </c>
      <c r="J23" s="196">
        <v>0.8333333333333334</v>
      </c>
      <c r="K23" s="195"/>
      <c r="L23" s="197">
        <f t="shared" si="2"/>
        <v>5</v>
      </c>
      <c r="M23" s="195" t="s">
        <v>125</v>
      </c>
      <c r="N23" s="196">
        <v>0.625</v>
      </c>
      <c r="O23" s="196">
        <v>0.9583333333333334</v>
      </c>
      <c r="P23" s="89"/>
      <c r="Q23" s="197">
        <f t="shared" si="3"/>
        <v>8</v>
      </c>
      <c r="R23" s="195" t="s">
        <v>125</v>
      </c>
      <c r="S23" s="196">
        <v>0.625</v>
      </c>
      <c r="T23" s="196">
        <v>0.9583333333333334</v>
      </c>
      <c r="U23" s="89"/>
      <c r="V23" s="197">
        <f t="shared" si="4"/>
        <v>8</v>
      </c>
      <c r="W23" s="195" t="s">
        <v>125</v>
      </c>
      <c r="X23" s="196">
        <v>0.625</v>
      </c>
      <c r="Y23" s="196">
        <v>0.8333333333333334</v>
      </c>
      <c r="Z23" s="89"/>
      <c r="AA23" s="197">
        <f t="shared" si="5"/>
        <v>5</v>
      </c>
      <c r="AB23" s="195" t="s">
        <v>125</v>
      </c>
      <c r="AC23" s="196">
        <v>0.5833333333333334</v>
      </c>
      <c r="AD23" s="196">
        <v>0.7708333333333334</v>
      </c>
      <c r="AE23" s="89"/>
      <c r="AF23" s="197">
        <f t="shared" si="7"/>
        <v>4.5</v>
      </c>
      <c r="AG23" s="33" t="s">
        <v>110</v>
      </c>
      <c r="AH23" s="196">
        <v>0.5</v>
      </c>
      <c r="AI23" s="196">
        <v>0.7708333333333334</v>
      </c>
      <c r="AJ23" s="199"/>
      <c r="AK23" s="197">
        <f t="shared" si="6"/>
        <v>6.5</v>
      </c>
      <c r="AL23" s="193"/>
    </row>
    <row r="24">
      <c r="A24" s="19" t="s">
        <v>83</v>
      </c>
      <c r="B24" s="19">
        <v>3.0</v>
      </c>
      <c r="C24" s="195" t="s">
        <v>16</v>
      </c>
      <c r="D24" s="196">
        <v>0.8125</v>
      </c>
      <c r="E24" s="196">
        <v>0.875</v>
      </c>
      <c r="F24" s="195"/>
      <c r="G24" s="197">
        <f t="shared" si="1"/>
        <v>1.5</v>
      </c>
      <c r="H24" s="195" t="s">
        <v>129</v>
      </c>
      <c r="I24" s="196">
        <v>0.7708333333333334</v>
      </c>
      <c r="J24" s="196">
        <v>0.9583333333333334</v>
      </c>
      <c r="K24" s="89"/>
      <c r="L24" s="197">
        <f t="shared" si="2"/>
        <v>4.5</v>
      </c>
      <c r="M24" s="195" t="s">
        <v>113</v>
      </c>
      <c r="N24" s="196">
        <v>0.9583333333333334</v>
      </c>
      <c r="O24" s="196">
        <v>0.3333333333333333</v>
      </c>
      <c r="P24" s="195"/>
      <c r="Q24" s="197">
        <f t="shared" si="3"/>
        <v>9</v>
      </c>
      <c r="R24" s="195" t="s">
        <v>113</v>
      </c>
      <c r="S24" s="196">
        <v>0.9583333333333334</v>
      </c>
      <c r="T24" s="196">
        <v>0.3333333333333333</v>
      </c>
      <c r="U24" s="195"/>
      <c r="V24" s="197">
        <f t="shared" si="4"/>
        <v>9</v>
      </c>
      <c r="W24" s="195" t="s">
        <v>129</v>
      </c>
      <c r="X24" s="196">
        <v>0.7708333333333334</v>
      </c>
      <c r="Y24" s="196">
        <v>0.9583333333333334</v>
      </c>
      <c r="Z24" s="89"/>
      <c r="AA24" s="197">
        <f t="shared" si="5"/>
        <v>4.5</v>
      </c>
      <c r="AB24" s="195" t="s">
        <v>50</v>
      </c>
      <c r="AC24" s="196">
        <v>0.7708333333333334</v>
      </c>
      <c r="AD24" s="196">
        <v>0.9583333333333334</v>
      </c>
      <c r="AE24" s="89"/>
      <c r="AF24" s="197">
        <f t="shared" si="7"/>
        <v>4.5</v>
      </c>
      <c r="AG24" s="33" t="s">
        <v>50</v>
      </c>
      <c r="AH24" s="196">
        <v>0.7708333333333334</v>
      </c>
      <c r="AI24" s="196">
        <v>0.9583333333333334</v>
      </c>
      <c r="AJ24" s="199" t="s">
        <v>144</v>
      </c>
      <c r="AK24" s="197">
        <f t="shared" si="6"/>
        <v>4.5</v>
      </c>
      <c r="AL24" s="193"/>
    </row>
    <row r="25">
      <c r="A25" s="19" t="s">
        <v>83</v>
      </c>
      <c r="B25" s="19">
        <v>4.0</v>
      </c>
      <c r="C25" s="195" t="s">
        <v>113</v>
      </c>
      <c r="D25" s="196">
        <v>0.875</v>
      </c>
      <c r="E25" s="196">
        <v>0.3333333333333333</v>
      </c>
      <c r="F25" s="89"/>
      <c r="G25" s="197">
        <f t="shared" si="1"/>
        <v>11</v>
      </c>
      <c r="H25" s="195" t="s">
        <v>113</v>
      </c>
      <c r="I25" s="196">
        <v>0.9583333333333334</v>
      </c>
      <c r="J25" s="196">
        <v>0.3333333333333333</v>
      </c>
      <c r="K25" s="89"/>
      <c r="L25" s="197">
        <f t="shared" si="2"/>
        <v>9</v>
      </c>
      <c r="M25" s="195"/>
      <c r="N25" s="196"/>
      <c r="O25" s="196"/>
      <c r="P25" s="89"/>
      <c r="Q25" s="197">
        <f t="shared" si="3"/>
        <v>0</v>
      </c>
      <c r="R25" s="195"/>
      <c r="S25" s="196"/>
      <c r="T25" s="196"/>
      <c r="U25" s="89"/>
      <c r="V25" s="197">
        <f t="shared" si="4"/>
        <v>0</v>
      </c>
      <c r="W25" s="195" t="s">
        <v>121</v>
      </c>
      <c r="X25" s="196">
        <v>0.9583333333333334</v>
      </c>
      <c r="Y25" s="196">
        <v>0.2916666666666667</v>
      </c>
      <c r="Z25" s="89"/>
      <c r="AA25" s="197">
        <f t="shared" si="5"/>
        <v>8</v>
      </c>
      <c r="AB25" s="195" t="s">
        <v>121</v>
      </c>
      <c r="AC25" s="196">
        <v>0.9583333333333334</v>
      </c>
      <c r="AD25" s="196">
        <v>0.2916666666666667</v>
      </c>
      <c r="AE25" s="88"/>
      <c r="AF25" s="197">
        <f t="shared" si="7"/>
        <v>8</v>
      </c>
      <c r="AG25" s="33" t="s">
        <v>113</v>
      </c>
      <c r="AH25" s="196">
        <v>0.9583333333333334</v>
      </c>
      <c r="AI25" s="196">
        <v>0.3333333333333333</v>
      </c>
      <c r="AJ25" s="199"/>
      <c r="AK25" s="197">
        <f t="shared" si="6"/>
        <v>9</v>
      </c>
      <c r="AL25" s="193"/>
    </row>
    <row r="26">
      <c r="A26" s="19" t="s">
        <v>83</v>
      </c>
      <c r="B26" s="19">
        <v>5.0</v>
      </c>
      <c r="C26" s="195"/>
      <c r="D26" s="196"/>
      <c r="E26" s="196"/>
      <c r="F26" s="96"/>
      <c r="G26" s="197">
        <f t="shared" si="1"/>
        <v>0</v>
      </c>
      <c r="H26" s="96"/>
      <c r="I26" s="96"/>
      <c r="J26" s="96"/>
      <c r="K26" s="96"/>
      <c r="L26" s="197">
        <f t="shared" si="2"/>
        <v>0</v>
      </c>
      <c r="M26" s="195"/>
      <c r="N26" s="196"/>
      <c r="O26" s="196"/>
      <c r="P26" s="96"/>
      <c r="Q26" s="197">
        <f t="shared" si="3"/>
        <v>0</v>
      </c>
      <c r="R26" s="195"/>
      <c r="S26" s="196"/>
      <c r="T26" s="196"/>
      <c r="U26" s="96"/>
      <c r="V26" s="197">
        <f t="shared" si="4"/>
        <v>0</v>
      </c>
      <c r="W26" s="96"/>
      <c r="X26" s="96"/>
      <c r="Y26" s="96"/>
      <c r="Z26" s="96"/>
      <c r="AA26" s="197">
        <f t="shared" si="5"/>
        <v>0</v>
      </c>
      <c r="AB26" s="33"/>
      <c r="AC26" s="198"/>
      <c r="AD26" s="198"/>
      <c r="AE26" s="33"/>
      <c r="AF26" s="197">
        <f t="shared" si="7"/>
        <v>0</v>
      </c>
      <c r="AG26" s="33"/>
      <c r="AH26" s="198"/>
      <c r="AI26" s="198"/>
      <c r="AJ26" s="198"/>
      <c r="AK26" s="197">
        <f t="shared" si="6"/>
        <v>0</v>
      </c>
      <c r="AL26" s="193"/>
    </row>
    <row r="27">
      <c r="A27" s="70"/>
      <c r="B27" s="70" t="s">
        <v>77</v>
      </c>
      <c r="C27" s="210">
        <v>29.0</v>
      </c>
      <c r="D27" s="64"/>
      <c r="E27" s="64"/>
      <c r="F27" s="63"/>
      <c r="G27" s="197">
        <f t="shared" si="1"/>
        <v>0</v>
      </c>
      <c r="H27" s="210">
        <v>30.0</v>
      </c>
      <c r="I27" s="64"/>
      <c r="J27" s="64"/>
      <c r="K27" s="63"/>
      <c r="L27" s="197">
        <f t="shared" si="2"/>
        <v>0</v>
      </c>
      <c r="M27" s="210"/>
      <c r="N27" s="64"/>
      <c r="O27" s="64"/>
      <c r="P27" s="63"/>
      <c r="Q27" s="197">
        <f t="shared" si="3"/>
        <v>0</v>
      </c>
      <c r="R27" s="210"/>
      <c r="S27" s="64"/>
      <c r="T27" s="64"/>
      <c r="U27" s="63"/>
      <c r="V27" s="197">
        <f t="shared" si="4"/>
        <v>0</v>
      </c>
      <c r="W27" s="210"/>
      <c r="X27" s="64"/>
      <c r="Y27" s="64"/>
      <c r="Z27" s="63"/>
      <c r="AA27" s="197">
        <f t="shared" si="5"/>
        <v>0</v>
      </c>
      <c r="AB27" s="208"/>
      <c r="AC27" s="64"/>
      <c r="AD27" s="64"/>
      <c r="AE27" s="63"/>
      <c r="AF27" s="197">
        <f t="shared" si="7"/>
        <v>0</v>
      </c>
      <c r="AG27" s="209"/>
      <c r="AH27" s="64"/>
      <c r="AI27" s="64"/>
      <c r="AJ27" s="63"/>
      <c r="AK27" s="197">
        <f t="shared" si="6"/>
        <v>0</v>
      </c>
      <c r="AL27" s="193"/>
    </row>
    <row r="28">
      <c r="A28" s="19" t="s">
        <v>84</v>
      </c>
      <c r="B28" s="19">
        <v>1.0</v>
      </c>
      <c r="C28" s="195" t="s">
        <v>16</v>
      </c>
      <c r="D28" s="196">
        <v>0.3333333333333333</v>
      </c>
      <c r="E28" s="196">
        <v>0.625</v>
      </c>
      <c r="F28" s="89"/>
      <c r="G28" s="197">
        <f t="shared" si="1"/>
        <v>7</v>
      </c>
      <c r="H28" s="195" t="s">
        <v>16</v>
      </c>
      <c r="I28" s="196">
        <v>0.3333333333333333</v>
      </c>
      <c r="J28" s="196">
        <v>0.625</v>
      </c>
      <c r="K28" s="198"/>
      <c r="L28" s="197">
        <f t="shared" si="2"/>
        <v>7</v>
      </c>
      <c r="M28" s="33"/>
      <c r="N28" s="198"/>
      <c r="O28" s="198"/>
      <c r="P28" s="198"/>
      <c r="Q28" s="197">
        <f t="shared" si="3"/>
        <v>0</v>
      </c>
      <c r="R28" s="33"/>
      <c r="S28" s="198"/>
      <c r="T28" s="198"/>
      <c r="U28" s="198"/>
      <c r="V28" s="197">
        <f t="shared" si="4"/>
        <v>0</v>
      </c>
      <c r="W28" s="33"/>
      <c r="X28" s="198"/>
      <c r="Y28" s="198"/>
      <c r="Z28" s="198"/>
      <c r="AA28" s="197">
        <f t="shared" si="5"/>
        <v>0</v>
      </c>
      <c r="AB28" s="33"/>
      <c r="AC28" s="198"/>
      <c r="AD28" s="198"/>
      <c r="AE28" s="198"/>
      <c r="AF28" s="197">
        <f t="shared" si="7"/>
        <v>0</v>
      </c>
      <c r="AG28" s="33"/>
      <c r="AH28" s="198"/>
      <c r="AI28" s="198"/>
      <c r="AJ28" s="198"/>
      <c r="AK28" s="197">
        <f t="shared" si="6"/>
        <v>0</v>
      </c>
      <c r="AL28" s="193"/>
    </row>
    <row r="29">
      <c r="A29" s="19" t="s">
        <v>84</v>
      </c>
      <c r="B29" s="19">
        <v>2.0</v>
      </c>
      <c r="C29" s="195" t="s">
        <v>125</v>
      </c>
      <c r="D29" s="196">
        <v>0.625</v>
      </c>
      <c r="E29" s="196">
        <v>0.8333333333333334</v>
      </c>
      <c r="F29" s="89"/>
      <c r="G29" s="197">
        <f t="shared" si="1"/>
        <v>5</v>
      </c>
      <c r="H29" s="195" t="s">
        <v>125</v>
      </c>
      <c r="I29" s="196">
        <v>0.625</v>
      </c>
      <c r="J29" s="196">
        <v>0.9583333333333334</v>
      </c>
      <c r="K29" s="198"/>
      <c r="L29" s="197">
        <f t="shared" si="2"/>
        <v>8</v>
      </c>
      <c r="M29" s="33"/>
      <c r="N29" s="198"/>
      <c r="O29" s="198"/>
      <c r="P29" s="198"/>
      <c r="Q29" s="197">
        <f t="shared" si="3"/>
        <v>0</v>
      </c>
      <c r="R29" s="33"/>
      <c r="S29" s="198"/>
      <c r="T29" s="198"/>
      <c r="U29" s="198"/>
      <c r="V29" s="197">
        <f t="shared" si="4"/>
        <v>0</v>
      </c>
      <c r="W29" s="33"/>
      <c r="X29" s="198"/>
      <c r="Y29" s="198"/>
      <c r="Z29" s="198"/>
      <c r="AA29" s="197">
        <f t="shared" si="5"/>
        <v>0</v>
      </c>
      <c r="AB29" s="33"/>
      <c r="AC29" s="198"/>
      <c r="AD29" s="198"/>
      <c r="AE29" s="198"/>
      <c r="AF29" s="197">
        <f t="shared" si="7"/>
        <v>0</v>
      </c>
      <c r="AG29" s="33"/>
      <c r="AH29" s="198"/>
      <c r="AI29" s="198"/>
      <c r="AJ29" s="198"/>
      <c r="AK29" s="197">
        <f t="shared" si="6"/>
        <v>0</v>
      </c>
      <c r="AL29" s="193"/>
    </row>
    <row r="30">
      <c r="A30" s="19" t="s">
        <v>84</v>
      </c>
      <c r="B30" s="19">
        <v>3.0</v>
      </c>
      <c r="C30" s="195" t="s">
        <v>129</v>
      </c>
      <c r="D30" s="196">
        <v>0.8125</v>
      </c>
      <c r="E30" s="196">
        <v>0.9583333333333334</v>
      </c>
      <c r="F30" s="195"/>
      <c r="G30" s="197">
        <f t="shared" si="1"/>
        <v>3.5</v>
      </c>
      <c r="H30" s="195" t="s">
        <v>113</v>
      </c>
      <c r="I30" s="196">
        <v>0.9583333333333334</v>
      </c>
      <c r="J30" s="196">
        <v>0.3333333333333333</v>
      </c>
      <c r="K30" s="198"/>
      <c r="L30" s="197">
        <f t="shared" si="2"/>
        <v>9</v>
      </c>
      <c r="M30" s="33"/>
      <c r="N30" s="198"/>
      <c r="O30" s="198"/>
      <c r="P30" s="198"/>
      <c r="Q30" s="197">
        <f t="shared" si="3"/>
        <v>0</v>
      </c>
      <c r="R30" s="33"/>
      <c r="S30" s="198"/>
      <c r="T30" s="198"/>
      <c r="U30" s="198"/>
      <c r="V30" s="197">
        <f t="shared" si="4"/>
        <v>0</v>
      </c>
      <c r="W30" s="33"/>
      <c r="X30" s="198"/>
      <c r="Y30" s="198"/>
      <c r="Z30" s="198"/>
      <c r="AA30" s="197">
        <f t="shared" si="5"/>
        <v>0</v>
      </c>
      <c r="AB30" s="33"/>
      <c r="AC30" s="198"/>
      <c r="AD30" s="198"/>
      <c r="AE30" s="198"/>
      <c r="AF30" s="197">
        <f t="shared" si="7"/>
        <v>0</v>
      </c>
      <c r="AG30" s="33"/>
      <c r="AH30" s="198"/>
      <c r="AI30" s="198"/>
      <c r="AJ30" s="198"/>
      <c r="AK30" s="197">
        <f t="shared" si="6"/>
        <v>0</v>
      </c>
      <c r="AL30" s="193"/>
    </row>
    <row r="31">
      <c r="A31" s="19" t="s">
        <v>84</v>
      </c>
      <c r="B31" s="19">
        <v>4.0</v>
      </c>
      <c r="C31" s="195" t="s">
        <v>113</v>
      </c>
      <c r="D31" s="196">
        <v>0.9583333333333334</v>
      </c>
      <c r="E31" s="196">
        <v>0.3333333333333333</v>
      </c>
      <c r="F31" s="89"/>
      <c r="G31" s="197">
        <f t="shared" si="1"/>
        <v>9</v>
      </c>
      <c r="H31" s="33"/>
      <c r="I31" s="196"/>
      <c r="J31" s="196"/>
      <c r="K31" s="33"/>
      <c r="L31" s="197">
        <f t="shared" si="2"/>
        <v>0</v>
      </c>
      <c r="M31" s="211"/>
      <c r="N31" s="212"/>
      <c r="O31" s="212"/>
      <c r="P31" s="198"/>
      <c r="Q31" s="197">
        <f t="shared" si="3"/>
        <v>0</v>
      </c>
      <c r="R31" s="211"/>
      <c r="S31" s="212"/>
      <c r="T31" s="212"/>
      <c r="U31" s="198"/>
      <c r="V31" s="197">
        <f t="shared" si="4"/>
        <v>0</v>
      </c>
      <c r="W31" s="211"/>
      <c r="X31" s="212"/>
      <c r="Y31" s="212"/>
      <c r="Z31" s="198"/>
      <c r="AA31" s="197">
        <f t="shared" si="5"/>
        <v>0</v>
      </c>
      <c r="AB31" s="211"/>
      <c r="AC31" s="212"/>
      <c r="AD31" s="212"/>
      <c r="AE31" s="198"/>
      <c r="AF31" s="197">
        <f t="shared" si="7"/>
        <v>0</v>
      </c>
      <c r="AG31" s="211"/>
      <c r="AH31" s="212"/>
      <c r="AI31" s="212"/>
      <c r="AJ31" s="198"/>
      <c r="AK31" s="197">
        <f t="shared" si="6"/>
        <v>0</v>
      </c>
      <c r="AL31" s="193"/>
    </row>
    <row r="32">
      <c r="A32" s="19" t="s">
        <v>84</v>
      </c>
      <c r="B32" s="19">
        <v>5.0</v>
      </c>
      <c r="C32" s="33"/>
      <c r="D32" s="198"/>
      <c r="E32" s="198"/>
      <c r="F32" s="33"/>
      <c r="G32" s="197">
        <f t="shared" si="1"/>
        <v>0</v>
      </c>
      <c r="H32" s="33"/>
      <c r="I32" s="198"/>
      <c r="J32" s="198"/>
      <c r="K32" s="33"/>
      <c r="L32" s="197">
        <f t="shared" si="2"/>
        <v>0</v>
      </c>
      <c r="M32" s="33"/>
      <c r="N32" s="198"/>
      <c r="O32" s="198"/>
      <c r="P32" s="33"/>
      <c r="Q32" s="197">
        <f t="shared" si="3"/>
        <v>0</v>
      </c>
      <c r="R32" s="33"/>
      <c r="S32" s="198"/>
      <c r="T32" s="198"/>
      <c r="U32" s="33"/>
      <c r="V32" s="197">
        <f t="shared" si="4"/>
        <v>0</v>
      </c>
      <c r="W32" s="33"/>
      <c r="X32" s="198"/>
      <c r="Y32" s="198"/>
      <c r="Z32" s="33"/>
      <c r="AA32" s="197">
        <f t="shared" si="5"/>
        <v>0</v>
      </c>
      <c r="AB32" s="33"/>
      <c r="AC32" s="198"/>
      <c r="AD32" s="198"/>
      <c r="AE32" s="33"/>
      <c r="AF32" s="197">
        <f t="shared" si="7"/>
        <v>0</v>
      </c>
      <c r="AG32" s="33"/>
      <c r="AH32" s="198"/>
      <c r="AI32" s="198"/>
      <c r="AJ32" s="33"/>
      <c r="AK32" s="213">
        <f>AI32-AH32</f>
        <v>0</v>
      </c>
      <c r="AL32" s="193"/>
    </row>
    <row r="33">
      <c r="A33" s="70"/>
      <c r="B33" s="70" t="s">
        <v>77</v>
      </c>
      <c r="C33" s="210"/>
      <c r="D33" s="64"/>
      <c r="E33" s="64"/>
      <c r="F33" s="63"/>
      <c r="G33" s="197">
        <f t="shared" si="1"/>
        <v>0</v>
      </c>
      <c r="H33" s="210"/>
      <c r="I33" s="64"/>
      <c r="J33" s="64"/>
      <c r="K33" s="63"/>
      <c r="L33" s="197">
        <f t="shared" si="2"/>
        <v>0</v>
      </c>
      <c r="M33" s="210"/>
      <c r="N33" s="64"/>
      <c r="O33" s="64"/>
      <c r="P33" s="63"/>
      <c r="Q33" s="197">
        <f t="shared" si="3"/>
        <v>0</v>
      </c>
      <c r="R33" s="210"/>
      <c r="S33" s="64"/>
      <c r="T33" s="64"/>
      <c r="U33" s="63"/>
      <c r="V33" s="197">
        <f t="shared" si="4"/>
        <v>0</v>
      </c>
      <c r="W33" s="210"/>
      <c r="X33" s="64"/>
      <c r="Y33" s="64"/>
      <c r="Z33" s="63"/>
      <c r="AA33" s="197">
        <f t="shared" si="5"/>
        <v>0</v>
      </c>
      <c r="AB33" s="208"/>
      <c r="AC33" s="64"/>
      <c r="AD33" s="64"/>
      <c r="AE33" s="63"/>
      <c r="AF33" s="197">
        <f t="shared" si="7"/>
        <v>0</v>
      </c>
      <c r="AG33" s="214"/>
      <c r="AH33" s="64"/>
      <c r="AI33" s="64"/>
      <c r="AJ33" s="63"/>
      <c r="AK33" s="197">
        <f t="shared" ref="AK33:AK37" si="8">if(AI33-AH33 &lt; 0 , (AI33-AH33+1)*24, (AI33-AH33)*24)</f>
        <v>0</v>
      </c>
      <c r="AL33" s="193"/>
    </row>
    <row r="34">
      <c r="A34" s="19" t="s">
        <v>85</v>
      </c>
      <c r="B34" s="19">
        <v>1.0</v>
      </c>
      <c r="C34" s="33"/>
      <c r="D34" s="198"/>
      <c r="E34" s="198"/>
      <c r="F34" s="198"/>
      <c r="G34" s="197">
        <f t="shared" si="1"/>
        <v>0</v>
      </c>
      <c r="H34" s="33"/>
      <c r="I34" s="198"/>
      <c r="J34" s="198"/>
      <c r="K34" s="198"/>
      <c r="L34" s="197">
        <f t="shared" si="2"/>
        <v>0</v>
      </c>
      <c r="M34" s="33"/>
      <c r="N34" s="198"/>
      <c r="O34" s="198"/>
      <c r="P34" s="198"/>
      <c r="Q34" s="197">
        <f t="shared" si="3"/>
        <v>0</v>
      </c>
      <c r="R34" s="33"/>
      <c r="S34" s="198"/>
      <c r="T34" s="198"/>
      <c r="U34" s="198"/>
      <c r="V34" s="197">
        <f t="shared" si="4"/>
        <v>0</v>
      </c>
      <c r="W34" s="33"/>
      <c r="X34" s="198"/>
      <c r="Y34" s="198"/>
      <c r="Z34" s="198"/>
      <c r="AA34" s="197">
        <f t="shared" si="5"/>
        <v>0</v>
      </c>
      <c r="AB34" s="211"/>
      <c r="AC34" s="212"/>
      <c r="AD34" s="212"/>
      <c r="AE34" s="198"/>
      <c r="AF34" s="197">
        <f t="shared" si="7"/>
        <v>0</v>
      </c>
      <c r="AG34" s="33"/>
      <c r="AH34" s="198"/>
      <c r="AI34" s="198"/>
      <c r="AJ34" s="199"/>
      <c r="AK34" s="197">
        <f t="shared" si="8"/>
        <v>0</v>
      </c>
      <c r="AL34" s="193"/>
    </row>
    <row r="35">
      <c r="A35" s="19" t="s">
        <v>85</v>
      </c>
      <c r="B35" s="19">
        <v>2.0</v>
      </c>
      <c r="C35" s="33"/>
      <c r="D35" s="198"/>
      <c r="E35" s="198"/>
      <c r="F35" s="198"/>
      <c r="G35" s="197">
        <f t="shared" si="1"/>
        <v>0</v>
      </c>
      <c r="H35" s="33"/>
      <c r="I35" s="198"/>
      <c r="J35" s="198"/>
      <c r="K35" s="198"/>
      <c r="L35" s="197">
        <f t="shared" si="2"/>
        <v>0</v>
      </c>
      <c r="M35" s="33"/>
      <c r="N35" s="198"/>
      <c r="O35" s="198"/>
      <c r="P35" s="198"/>
      <c r="Q35" s="197">
        <f t="shared" si="3"/>
        <v>0</v>
      </c>
      <c r="R35" s="33"/>
      <c r="S35" s="198"/>
      <c r="T35" s="198"/>
      <c r="U35" s="198"/>
      <c r="V35" s="197">
        <f t="shared" si="4"/>
        <v>0</v>
      </c>
      <c r="W35" s="33"/>
      <c r="X35" s="198"/>
      <c r="Y35" s="198"/>
      <c r="Z35" s="198"/>
      <c r="AA35" s="197">
        <f t="shared" si="5"/>
        <v>0</v>
      </c>
      <c r="AB35" s="211"/>
      <c r="AC35" s="212"/>
      <c r="AD35" s="212"/>
      <c r="AE35" s="198"/>
      <c r="AF35" s="197">
        <f t="shared" si="7"/>
        <v>0</v>
      </c>
      <c r="AG35" s="33"/>
      <c r="AH35" s="198"/>
      <c r="AI35" s="198"/>
      <c r="AJ35" s="199"/>
      <c r="AK35" s="197">
        <f t="shared" si="8"/>
        <v>0</v>
      </c>
      <c r="AL35" s="193"/>
    </row>
    <row r="36">
      <c r="A36" s="19" t="s">
        <v>85</v>
      </c>
      <c r="B36" s="19">
        <v>3.0</v>
      </c>
      <c r="C36" s="33"/>
      <c r="D36" s="198"/>
      <c r="E36" s="198"/>
      <c r="F36" s="198"/>
      <c r="G36" s="197">
        <f t="shared" si="1"/>
        <v>0</v>
      </c>
      <c r="H36" s="33"/>
      <c r="I36" s="198"/>
      <c r="J36" s="198"/>
      <c r="K36" s="198"/>
      <c r="L36" s="197">
        <f t="shared" si="2"/>
        <v>0</v>
      </c>
      <c r="M36" s="33"/>
      <c r="N36" s="198"/>
      <c r="O36" s="198"/>
      <c r="P36" s="198"/>
      <c r="Q36" s="197">
        <f t="shared" si="3"/>
        <v>0</v>
      </c>
      <c r="R36" s="33"/>
      <c r="S36" s="198"/>
      <c r="T36" s="198"/>
      <c r="U36" s="198"/>
      <c r="V36" s="197">
        <f t="shared" si="4"/>
        <v>0</v>
      </c>
      <c r="W36" s="33"/>
      <c r="X36" s="198"/>
      <c r="Y36" s="198"/>
      <c r="Z36" s="198"/>
      <c r="AA36" s="197">
        <f t="shared" si="5"/>
        <v>0</v>
      </c>
      <c r="AB36" s="211"/>
      <c r="AC36" s="212"/>
      <c r="AD36" s="212"/>
      <c r="AE36" s="198"/>
      <c r="AF36" s="197">
        <f t="shared" si="7"/>
        <v>0</v>
      </c>
      <c r="AG36" s="33"/>
      <c r="AH36" s="198"/>
      <c r="AI36" s="198"/>
      <c r="AJ36" s="199"/>
      <c r="AK36" s="197">
        <f t="shared" si="8"/>
        <v>0</v>
      </c>
      <c r="AL36" s="193"/>
    </row>
    <row r="37">
      <c r="A37" s="19" t="s">
        <v>85</v>
      </c>
      <c r="B37" s="19">
        <v>4.0</v>
      </c>
      <c r="C37" s="211"/>
      <c r="D37" s="212"/>
      <c r="E37" s="212"/>
      <c r="F37" s="198"/>
      <c r="G37" s="197">
        <f t="shared" si="1"/>
        <v>0</v>
      </c>
      <c r="H37" s="211"/>
      <c r="I37" s="212"/>
      <c r="J37" s="212"/>
      <c r="K37" s="198"/>
      <c r="L37" s="197">
        <f t="shared" si="2"/>
        <v>0</v>
      </c>
      <c r="M37" s="211"/>
      <c r="N37" s="212"/>
      <c r="O37" s="212"/>
      <c r="P37" s="198"/>
      <c r="Q37" s="197">
        <f t="shared" si="3"/>
        <v>0</v>
      </c>
      <c r="R37" s="211"/>
      <c r="S37" s="212"/>
      <c r="T37" s="212"/>
      <c r="U37" s="198"/>
      <c r="V37" s="197">
        <f t="shared" si="4"/>
        <v>0</v>
      </c>
      <c r="W37" s="211"/>
      <c r="X37" s="212"/>
      <c r="Y37" s="212"/>
      <c r="Z37" s="198"/>
      <c r="AA37" s="197">
        <f t="shared" si="5"/>
        <v>0</v>
      </c>
      <c r="AB37" s="211"/>
      <c r="AC37" s="212"/>
      <c r="AD37" s="212"/>
      <c r="AE37" s="198"/>
      <c r="AF37" s="197">
        <f t="shared" si="7"/>
        <v>0</v>
      </c>
      <c r="AG37" s="33"/>
      <c r="AH37" s="198"/>
      <c r="AI37" s="198"/>
      <c r="AJ37" s="199"/>
      <c r="AK37" s="197">
        <f t="shared" si="8"/>
        <v>0</v>
      </c>
      <c r="AL37" s="193"/>
    </row>
    <row r="38">
      <c r="A38" s="19" t="s">
        <v>85</v>
      </c>
      <c r="B38" s="19">
        <v>5.0</v>
      </c>
      <c r="C38" s="33"/>
      <c r="D38" s="198"/>
      <c r="E38" s="198"/>
      <c r="F38" s="33"/>
      <c r="G38" s="197">
        <f t="shared" si="1"/>
        <v>0</v>
      </c>
      <c r="H38" s="33"/>
      <c r="I38" s="198"/>
      <c r="J38" s="198"/>
      <c r="K38" s="33"/>
      <c r="L38" s="197">
        <f t="shared" si="2"/>
        <v>0</v>
      </c>
      <c r="M38" s="33"/>
      <c r="N38" s="198"/>
      <c r="O38" s="198"/>
      <c r="P38" s="33"/>
      <c r="Q38" s="197">
        <f t="shared" si="3"/>
        <v>0</v>
      </c>
      <c r="R38" s="33"/>
      <c r="S38" s="198"/>
      <c r="T38" s="198"/>
      <c r="U38" s="33"/>
      <c r="V38" s="197">
        <f t="shared" si="4"/>
        <v>0</v>
      </c>
      <c r="W38" s="33"/>
      <c r="X38" s="198"/>
      <c r="Y38" s="198"/>
      <c r="Z38" s="33"/>
      <c r="AA38" s="197">
        <f t="shared" si="5"/>
        <v>0</v>
      </c>
      <c r="AB38" s="33"/>
      <c r="AC38" s="198"/>
      <c r="AD38" s="198"/>
      <c r="AE38" s="198"/>
      <c r="AF38" s="197">
        <f t="shared" si="7"/>
        <v>0</v>
      </c>
      <c r="AG38" s="33"/>
      <c r="AH38" s="198"/>
      <c r="AI38" s="198"/>
      <c r="AJ38" s="198"/>
      <c r="AK38" s="213">
        <f>AI38-AH38</f>
        <v>0</v>
      </c>
      <c r="AL38" s="193"/>
    </row>
    <row r="39">
      <c r="A39" s="215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216"/>
      <c r="M39" s="217"/>
      <c r="N39" s="217"/>
      <c r="O39" s="217"/>
      <c r="P39" s="217"/>
      <c r="Q39" s="218"/>
      <c r="R39" s="219"/>
      <c r="S39" s="218"/>
      <c r="T39" s="218"/>
      <c r="U39" s="218"/>
      <c r="V39" s="218"/>
      <c r="W39" s="218"/>
      <c r="X39" s="218"/>
      <c r="Y39" s="217"/>
      <c r="Z39" s="217"/>
      <c r="AA39" s="217"/>
      <c r="AB39" s="217"/>
      <c r="AC39" s="217"/>
      <c r="AD39" s="217"/>
      <c r="AE39" s="217"/>
      <c r="AF39" s="217"/>
      <c r="AG39" s="217"/>
      <c r="AH39" s="217"/>
      <c r="AI39" s="217"/>
      <c r="AJ39" s="217"/>
      <c r="AK39" s="217"/>
      <c r="AL39" s="217"/>
    </row>
    <row r="40">
      <c r="A40" s="215"/>
      <c r="M40" s="217"/>
      <c r="N40" s="217"/>
      <c r="O40" s="217"/>
      <c r="P40" s="217"/>
      <c r="Q40" s="219"/>
      <c r="R40" s="219"/>
      <c r="S40" s="219"/>
      <c r="T40" s="218"/>
      <c r="U40" s="219"/>
      <c r="V40" s="218"/>
      <c r="W40" s="218"/>
      <c r="X40" s="218"/>
      <c r="Y40" s="217"/>
      <c r="Z40" s="217"/>
      <c r="AA40" s="217"/>
      <c r="AB40" s="217"/>
      <c r="AC40" s="217"/>
      <c r="AD40" s="217"/>
      <c r="AE40" s="217"/>
      <c r="AF40" s="217"/>
      <c r="AG40" s="217"/>
      <c r="AH40" s="217"/>
      <c r="AI40" s="217"/>
      <c r="AJ40" s="217"/>
      <c r="AK40" s="217"/>
      <c r="AL40" s="217"/>
    </row>
  </sheetData>
  <mergeCells count="51">
    <mergeCell ref="C1:G1"/>
    <mergeCell ref="H1:L1"/>
    <mergeCell ref="M1:Q1"/>
    <mergeCell ref="R1:V1"/>
    <mergeCell ref="W1:AA1"/>
    <mergeCell ref="AB1:AF1"/>
    <mergeCell ref="AG1:AK1"/>
    <mergeCell ref="AB3:AE3"/>
    <mergeCell ref="AG3:AJ3"/>
    <mergeCell ref="A1:B1"/>
    <mergeCell ref="A2:B2"/>
    <mergeCell ref="C3:F3"/>
    <mergeCell ref="H3:K3"/>
    <mergeCell ref="M3:P3"/>
    <mergeCell ref="R3:U3"/>
    <mergeCell ref="W3:Z3"/>
    <mergeCell ref="C9:F9"/>
    <mergeCell ref="H9:K9"/>
    <mergeCell ref="M9:P9"/>
    <mergeCell ref="R9:U9"/>
    <mergeCell ref="W9:Z9"/>
    <mergeCell ref="AB9:AE9"/>
    <mergeCell ref="AG9:AJ9"/>
    <mergeCell ref="C15:F15"/>
    <mergeCell ref="H15:K15"/>
    <mergeCell ref="M15:P15"/>
    <mergeCell ref="R15:U15"/>
    <mergeCell ref="W15:Z15"/>
    <mergeCell ref="AB15:AE15"/>
    <mergeCell ref="AG15:AJ15"/>
    <mergeCell ref="C21:F21"/>
    <mergeCell ref="H21:K21"/>
    <mergeCell ref="M21:P21"/>
    <mergeCell ref="R21:U21"/>
    <mergeCell ref="W21:Z21"/>
    <mergeCell ref="AB21:AE21"/>
    <mergeCell ref="AG21:AJ21"/>
    <mergeCell ref="C33:F33"/>
    <mergeCell ref="H33:K33"/>
    <mergeCell ref="M33:P33"/>
    <mergeCell ref="R33:U33"/>
    <mergeCell ref="W33:Z33"/>
    <mergeCell ref="AB33:AE33"/>
    <mergeCell ref="AG33:AJ33"/>
    <mergeCell ref="C27:F27"/>
    <mergeCell ref="H27:K27"/>
    <mergeCell ref="M27:P27"/>
    <mergeCell ref="R27:U27"/>
    <mergeCell ref="W27:Z27"/>
    <mergeCell ref="AB27:AE27"/>
    <mergeCell ref="AG27:AJ2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4.13"/>
    <col customWidth="1" min="3" max="3" width="7.88"/>
    <col customWidth="1" min="4" max="5" width="8.75"/>
    <col customWidth="1" min="6" max="6" width="6.13"/>
    <col customWidth="1" min="7" max="7" width="6.38"/>
    <col customWidth="1" min="8" max="8" width="8.75"/>
    <col customWidth="1" min="9" max="9" width="6.38"/>
    <col customWidth="1" hidden="1" min="10" max="10" width="29.38"/>
    <col customWidth="1" hidden="1" min="11" max="11" width="5.75"/>
    <col customWidth="1" min="12" max="12" width="3.88"/>
    <col customWidth="1" min="13" max="13" width="8.5"/>
    <col customWidth="1" min="20" max="20" width="7.38"/>
    <col hidden="1" min="21" max="22" width="12.63"/>
  </cols>
  <sheetData>
    <row r="1">
      <c r="A1" s="108" t="s">
        <v>86</v>
      </c>
      <c r="B1" s="108" t="s">
        <v>74</v>
      </c>
      <c r="C1" s="220" t="s">
        <v>74</v>
      </c>
      <c r="D1" s="108" t="s">
        <v>4</v>
      </c>
      <c r="E1" s="108" t="s">
        <v>87</v>
      </c>
      <c r="F1" s="108" t="s">
        <v>88</v>
      </c>
      <c r="G1" s="108" t="s">
        <v>89</v>
      </c>
      <c r="H1" s="108" t="s">
        <v>90</v>
      </c>
      <c r="I1" s="108" t="s">
        <v>91</v>
      </c>
      <c r="J1" s="108" t="s">
        <v>13</v>
      </c>
      <c r="K1" s="111"/>
      <c r="L1" s="108" t="s">
        <v>74</v>
      </c>
      <c r="M1" s="108" t="s">
        <v>0</v>
      </c>
      <c r="N1" s="221" t="s">
        <v>145</v>
      </c>
      <c r="O1" s="108" t="s">
        <v>93</v>
      </c>
      <c r="P1" s="108" t="s">
        <v>94</v>
      </c>
      <c r="Q1" s="108" t="s">
        <v>95</v>
      </c>
      <c r="R1" s="112" t="s">
        <v>96</v>
      </c>
      <c r="S1" s="113" t="s">
        <v>97</v>
      </c>
      <c r="T1" s="114" t="s">
        <v>13</v>
      </c>
      <c r="U1" s="111"/>
      <c r="V1" s="111"/>
    </row>
    <row r="2">
      <c r="A2" s="115" t="s">
        <v>78</v>
      </c>
      <c r="B2" s="19">
        <v>1.0</v>
      </c>
      <c r="C2" s="30" t="s">
        <v>16</v>
      </c>
      <c r="D2" s="125">
        <f>sumifs('삼성메가 9월 급여'!$G:$G, '삼성메가 9월 급여'!$C:$C, C2, '삼성메가 9월 급여'!$A:$A, A2) + sumifs('삼성메가 9월 급여'!$L:$L,'삼성메가 9월 급여'!$H:$H,C2, '삼성메가 9월 급여'!$A:$A, A2) + sumifs('삼성메가 9월 급여'!$Q:$Q,'삼성메가 9월 급여'!$M:$M,C2, '삼성메가 9월 급여'!$A:$A, A2) + sumifs('삼성메가 9월 급여'!$V:$V,'삼성메가 9월 급여'!$R:$R,C2, '삼성메가 9월 급여'!$A:$A, A2) + sumifs('삼성메가 9월 급여'!$AA:$AA,'삼성메가 9월 급여'!$W:$W,C2, '삼성메가 9월 급여'!$A:$A, A2) + sumifs('삼성메가 9월 급여'!$AF:$AF,'삼성메가 9월 급여'!$AB:$AB,C2, '삼성메가 9월 급여'!$A:$A, A2) + sumifs('삼성메가 9월 급여'!$AK:$AK,'삼성메가 9월 급여'!$AG:$AG,C2, '삼성메가 9월 급여'!$A:$A, A2)</f>
        <v>35</v>
      </c>
      <c r="E2" s="125" t="str">
        <f t="shared" ref="E2:E8" si="1">if(D2 &gt; 15, "O", "X")</f>
        <v>O</v>
      </c>
      <c r="F2" s="222">
        <v>10030.0</v>
      </c>
      <c r="G2" s="122">
        <f t="shared" ref="G2:G5" si="2">D2*F2</f>
        <v>351050</v>
      </c>
      <c r="H2" s="122">
        <f t="shared" ref="H2:H3" si="3">if(E2="O", D2/40*8*F2, 0)</f>
        <v>70210</v>
      </c>
      <c r="I2" s="122">
        <f t="shared" ref="I2:I97" si="4">sum(G2:H2)</f>
        <v>421260</v>
      </c>
      <c r="J2" s="19"/>
      <c r="K2" s="111"/>
      <c r="L2" s="19">
        <v>1.0</v>
      </c>
      <c r="M2" s="30" t="s">
        <v>16</v>
      </c>
      <c r="N2" s="134">
        <f t="shared" ref="N2:N17" si="5">sumif($C:$C, M2, $D:$D)</f>
        <v>163.5</v>
      </c>
      <c r="O2" s="122">
        <f t="shared" ref="O2:O17" si="6">sumif($C:$C, M2, $G:$G)</f>
        <v>1639905</v>
      </c>
      <c r="P2" s="122">
        <f t="shared" ref="P2:P17" si="7">sumif($C:$C, M2, $H:$H)</f>
        <v>299897</v>
      </c>
      <c r="Q2" s="122">
        <f t="shared" ref="Q2:Q17" si="8">sum(O2:P2)</f>
        <v>1939802</v>
      </c>
      <c r="R2" s="124">
        <f>trunc(Q2*3%,-1)+trunc((Q2*3%)/10, -1)</f>
        <v>64000</v>
      </c>
      <c r="S2" s="223">
        <f t="shared" ref="S2:S17" si="9">Q2-R2</f>
        <v>1875802</v>
      </c>
      <c r="T2" s="126"/>
    </row>
    <row r="3">
      <c r="A3" s="115" t="s">
        <v>78</v>
      </c>
      <c r="B3" s="19">
        <v>2.0</v>
      </c>
      <c r="C3" s="30" t="s">
        <v>110</v>
      </c>
      <c r="D3" s="125">
        <f>sumifs('삼성메가 9월 급여'!$G:$G, '삼성메가 9월 급여'!$C:$C, C3, '삼성메가 9월 급여'!$A:$A, A3) + sumifs('삼성메가 9월 급여'!$L:$L,'삼성메가 9월 급여'!$H:$H,C3, '삼성메가 9월 급여'!$A:$A, A3) + sumifs('삼성메가 9월 급여'!$Q:$Q,'삼성메가 9월 급여'!$M:$M,C3, '삼성메가 9월 급여'!$A:$A, A3) + sumifs('삼성메가 9월 급여'!$V:$V,'삼성메가 9월 급여'!$R:$R,C3, '삼성메가 9월 급여'!$A:$A, A3) + sumifs('삼성메가 9월 급여'!$AA:$AA,'삼성메가 9월 급여'!$W:$W,C3, '삼성메가 9월 급여'!$A:$A, A3) + sumifs('삼성메가 9월 급여'!$AF:$AF,'삼성메가 9월 급여'!$AB:$AB,C3, '삼성메가 9월 급여'!$A:$A, A3) + sumifs('삼성메가 9월 급여'!$AK:$AK,'삼성메가 9월 급여'!$AG:$AG,C3, '삼성메가 9월 급여'!$A:$A, A3)</f>
        <v>6</v>
      </c>
      <c r="E3" s="125" t="str">
        <f t="shared" si="1"/>
        <v>X</v>
      </c>
      <c r="F3" s="222">
        <v>11030.0</v>
      </c>
      <c r="G3" s="122">
        <f t="shared" si="2"/>
        <v>66180</v>
      </c>
      <c r="H3" s="122">
        <f t="shared" si="3"/>
        <v>0</v>
      </c>
      <c r="I3" s="122">
        <f t="shared" si="4"/>
        <v>66180</v>
      </c>
      <c r="J3" s="224"/>
      <c r="K3" s="111"/>
      <c r="L3" s="19">
        <v>2.0</v>
      </c>
      <c r="M3" s="30" t="s">
        <v>110</v>
      </c>
      <c r="N3" s="134">
        <f t="shared" si="5"/>
        <v>38.5</v>
      </c>
      <c r="O3" s="122">
        <f t="shared" si="6"/>
        <v>424655</v>
      </c>
      <c r="P3" s="122">
        <f t="shared" si="7"/>
        <v>0</v>
      </c>
      <c r="Q3" s="122">
        <f t="shared" si="8"/>
        <v>424655</v>
      </c>
      <c r="R3" s="123">
        <v>0.0</v>
      </c>
      <c r="S3" s="223">
        <f t="shared" si="9"/>
        <v>424655</v>
      </c>
      <c r="T3" s="126"/>
      <c r="U3" s="26" t="s">
        <v>110</v>
      </c>
      <c r="V3" s="135" t="s">
        <v>35</v>
      </c>
    </row>
    <row r="4">
      <c r="A4" s="115" t="s">
        <v>78</v>
      </c>
      <c r="B4" s="19">
        <v>3.0</v>
      </c>
      <c r="C4" s="30" t="s">
        <v>113</v>
      </c>
      <c r="D4" s="125">
        <f>sumifs('삼성메가 9월 급여'!$G:$G, '삼성메가 9월 급여'!$C:$C, C4, '삼성메가 9월 급여'!$A:$A, A4) + sumifs('삼성메가 9월 급여'!$L:$L,'삼성메가 9월 급여'!$H:$H,C4, '삼성메가 9월 급여'!$A:$A, A4) + sumifs('삼성메가 9월 급여'!$Q:$Q,'삼성메가 9월 급여'!$M:$M,C4, '삼성메가 9월 급여'!$A:$A, A4) + sumifs('삼성메가 9월 급여'!$V:$V,'삼성메가 9월 급여'!$R:$R,C4, '삼성메가 9월 급여'!$A:$A, A4) + sumifs('삼성메가 9월 급여'!$AA:$AA,'삼성메가 9월 급여'!$W:$W,C4, '삼성메가 9월 급여'!$A:$A, A4) + sumifs('삼성메가 9월 급여'!$AF:$AF,'삼성메가 9월 급여'!$AB:$AB,C4, '삼성메가 9월 급여'!$A:$A, A4) + sumifs('삼성메가 9월 급여'!$AK:$AK,'삼성메가 9월 급여'!$AG:$AG,C4, '삼성메가 9월 급여'!$A:$A, A4)</f>
        <v>53</v>
      </c>
      <c r="E4" s="125" t="str">
        <f t="shared" si="1"/>
        <v>O</v>
      </c>
      <c r="F4" s="222">
        <v>11030.0</v>
      </c>
      <c r="G4" s="122">
        <f t="shared" si="2"/>
        <v>584590</v>
      </c>
      <c r="H4" s="122">
        <f>if(E4="O", 40/40*8*F4, 0)</f>
        <v>88240</v>
      </c>
      <c r="I4" s="122">
        <f t="shared" si="4"/>
        <v>672830</v>
      </c>
      <c r="J4" s="225"/>
      <c r="K4" s="111"/>
      <c r="L4" s="19">
        <v>3.0</v>
      </c>
      <c r="M4" s="30" t="s">
        <v>113</v>
      </c>
      <c r="N4" s="134">
        <f t="shared" si="5"/>
        <v>213.5</v>
      </c>
      <c r="O4" s="122">
        <f t="shared" si="6"/>
        <v>2354905</v>
      </c>
      <c r="P4" s="122">
        <f t="shared" si="7"/>
        <v>352960</v>
      </c>
      <c r="Q4" s="122">
        <f t="shared" si="8"/>
        <v>2707865</v>
      </c>
      <c r="R4" s="124">
        <f>trunc(Q4*3%,-1)+trunc((Q4*3%)/10, -1)</f>
        <v>89350</v>
      </c>
      <c r="S4" s="223">
        <f t="shared" si="9"/>
        <v>2618515</v>
      </c>
      <c r="T4" s="126"/>
      <c r="U4" s="226" t="s">
        <v>146</v>
      </c>
      <c r="V4" s="227" t="s">
        <v>35</v>
      </c>
    </row>
    <row r="5">
      <c r="A5" s="115" t="s">
        <v>78</v>
      </c>
      <c r="B5" s="19">
        <v>4.0</v>
      </c>
      <c r="C5" s="30" t="s">
        <v>117</v>
      </c>
      <c r="D5" s="125">
        <f>sumifs('삼성메가 9월 급여'!$G:$G, '삼성메가 9월 급여'!$C:$C, C5, '삼성메가 9월 급여'!$A:$A, A5) + sumifs('삼성메가 9월 급여'!$L:$L,'삼성메가 9월 급여'!$H:$H,C5, '삼성메가 9월 급여'!$A:$A, A5) + sumifs('삼성메가 9월 급여'!$Q:$Q,'삼성메가 9월 급여'!$M:$M,C5, '삼성메가 9월 급여'!$A:$A, A5) + sumifs('삼성메가 9월 급여'!$V:$V,'삼성메가 9월 급여'!$R:$R,C5, '삼성메가 9월 급여'!$A:$A, A5) + sumifs('삼성메가 9월 급여'!$AA:$AA,'삼성메가 9월 급여'!$W:$W,C5, '삼성메가 9월 급여'!$A:$A, A5) + sumifs('삼성메가 9월 급여'!$AF:$AF,'삼성메가 9월 급여'!$AB:$AB,C5, '삼성메가 9월 급여'!$A:$A, A5) + sumifs('삼성메가 9월 급여'!$AK:$AK,'삼성메가 9월 급여'!$AG:$AG,C5, '삼성메가 9월 급여'!$A:$A, A5)</f>
        <v>5</v>
      </c>
      <c r="E5" s="125" t="str">
        <f t="shared" si="1"/>
        <v>X</v>
      </c>
      <c r="F5" s="222">
        <v>10030.0</v>
      </c>
      <c r="G5" s="122">
        <f t="shared" si="2"/>
        <v>50150</v>
      </c>
      <c r="H5" s="122">
        <f>if(E5="O", D5/40*8*F5, 0)</f>
        <v>0</v>
      </c>
      <c r="I5" s="122">
        <f t="shared" si="4"/>
        <v>50150</v>
      </c>
      <c r="J5" s="224"/>
      <c r="K5" s="111"/>
      <c r="L5" s="19">
        <v>4.0</v>
      </c>
      <c r="M5" s="30" t="s">
        <v>117</v>
      </c>
      <c r="N5" s="134">
        <f t="shared" si="5"/>
        <v>19</v>
      </c>
      <c r="O5" s="122">
        <f t="shared" si="6"/>
        <v>190570</v>
      </c>
      <c r="P5" s="122">
        <f t="shared" si="7"/>
        <v>0</v>
      </c>
      <c r="Q5" s="122">
        <f t="shared" si="8"/>
        <v>190570</v>
      </c>
      <c r="R5" s="123">
        <v>0.0</v>
      </c>
      <c r="S5" s="223">
        <f t="shared" si="9"/>
        <v>190570</v>
      </c>
      <c r="T5" s="126"/>
      <c r="U5" s="226" t="s">
        <v>147</v>
      </c>
      <c r="V5" s="227" t="s">
        <v>35</v>
      </c>
    </row>
    <row r="6">
      <c r="A6" s="115" t="s">
        <v>78</v>
      </c>
      <c r="B6" s="19">
        <v>5.0</v>
      </c>
      <c r="C6" s="163" t="s">
        <v>121</v>
      </c>
      <c r="D6" s="125">
        <f>sumifs('삼성메가 9월 급여'!$G:$G, '삼성메가 9월 급여'!$C:$C, C6, '삼성메가 9월 급여'!$A:$A, A6) + sumifs('삼성메가 9월 급여'!$L:$L,'삼성메가 9월 급여'!$H:$H,C6, '삼성메가 9월 급여'!$A:$A, A6) + sumifs('삼성메가 9월 급여'!$Q:$Q,'삼성메가 9월 급여'!$M:$M,C6, '삼성메가 9월 급여'!$A:$A, A6) + sumifs('삼성메가 9월 급여'!$V:$V,'삼성메가 9월 급여'!$R:$R,C6, '삼성메가 9월 급여'!$A:$A, A6) + sumifs('삼성메가 9월 급여'!$AA:$AA,'삼성메가 9월 급여'!$W:$W,C6, '삼성메가 9월 급여'!$A:$A, A6) + sumifs('삼성메가 9월 급여'!$AF:$AF,'삼성메가 9월 급여'!$AB:$AB,C6, '삼성메가 9월 급여'!$A:$A, A6) + sumifs('삼성메가 9월 급여'!$AK:$AK,'삼성메가 9월 급여'!$AG:$AG,C6, '삼성메가 9월 급여'!$A:$A, A6)</f>
        <v>8</v>
      </c>
      <c r="E6" s="125" t="str">
        <f t="shared" si="1"/>
        <v>X</v>
      </c>
      <c r="F6" s="222">
        <v>11030.0</v>
      </c>
      <c r="G6" s="122">
        <f>16*F6+8*11030</f>
        <v>264720</v>
      </c>
      <c r="H6" s="228">
        <f>if(E6="O", 16/40*8*F6, 0)</f>
        <v>0</v>
      </c>
      <c r="I6" s="122">
        <f t="shared" si="4"/>
        <v>264720</v>
      </c>
      <c r="J6" s="224"/>
      <c r="K6" s="111"/>
      <c r="L6" s="19">
        <v>5.0</v>
      </c>
      <c r="M6" s="163" t="s">
        <v>121</v>
      </c>
      <c r="N6" s="134">
        <f t="shared" si="5"/>
        <v>56</v>
      </c>
      <c r="O6" s="122">
        <f t="shared" si="6"/>
        <v>794160</v>
      </c>
      <c r="P6" s="122">
        <f t="shared" si="7"/>
        <v>105888</v>
      </c>
      <c r="Q6" s="122">
        <f t="shared" si="8"/>
        <v>900048</v>
      </c>
      <c r="R6" s="124">
        <f t="shared" ref="R6:R7" si="10">trunc(Q6*3%,-1)+trunc((Q6*3%)/10, -1)</f>
        <v>29700</v>
      </c>
      <c r="S6" s="223">
        <f t="shared" si="9"/>
        <v>870348</v>
      </c>
      <c r="T6" s="126"/>
      <c r="U6" s="229" t="s">
        <v>98</v>
      </c>
      <c r="V6" s="230" t="s">
        <v>24</v>
      </c>
    </row>
    <row r="7">
      <c r="A7" s="115" t="s">
        <v>78</v>
      </c>
      <c r="B7" s="19">
        <v>6.0</v>
      </c>
      <c r="C7" s="116" t="s">
        <v>125</v>
      </c>
      <c r="D7" s="125">
        <f>sumifs('삼성메가 9월 급여'!$G:$G, '삼성메가 9월 급여'!$C:$C, C7, '삼성메가 9월 급여'!$A:$A, A7) + sumifs('삼성메가 9월 급여'!$L:$L,'삼성메가 9월 급여'!$H:$H,C7, '삼성메가 9월 급여'!$A:$A, A7) + sumifs('삼성메가 9월 급여'!$Q:$Q,'삼성메가 9월 급여'!$M:$M,C7, '삼성메가 9월 급여'!$A:$A, A7) + sumifs('삼성메가 9월 급여'!$V:$V,'삼성메가 9월 급여'!$R:$R,C7, '삼성메가 9월 급여'!$A:$A, A7) + sumifs('삼성메가 9월 급여'!$AA:$AA,'삼성메가 9월 급여'!$W:$W,C7, '삼성메가 9월 급여'!$A:$A, A7) + sumifs('삼성메가 9월 급여'!$AF:$AF,'삼성메가 9월 급여'!$AB:$AB,C7, '삼성메가 9월 급여'!$A:$A, A7) + sumifs('삼성메가 9월 급여'!$AK:$AK,'삼성메가 9월 급여'!$AG:$AG,C7, '삼성메가 9월 급여'!$A:$A, A7)</f>
        <v>19</v>
      </c>
      <c r="E7" s="125" t="str">
        <f t="shared" si="1"/>
        <v>O</v>
      </c>
      <c r="F7" s="222">
        <v>11030.0</v>
      </c>
      <c r="G7" s="122">
        <f t="shared" ref="G7:G54" si="11">D7*F7</f>
        <v>209570</v>
      </c>
      <c r="H7" s="122">
        <f>if(E7="O", 16.5/40*8*F7, 0)</f>
        <v>36399</v>
      </c>
      <c r="I7" s="122">
        <f t="shared" si="4"/>
        <v>245969</v>
      </c>
      <c r="J7" s="224"/>
      <c r="K7" s="111"/>
      <c r="L7" s="19">
        <v>6.0</v>
      </c>
      <c r="M7" s="116" t="s">
        <v>125</v>
      </c>
      <c r="N7" s="134">
        <f t="shared" si="5"/>
        <v>126</v>
      </c>
      <c r="O7" s="122">
        <f t="shared" si="6"/>
        <v>1389780</v>
      </c>
      <c r="P7" s="122">
        <f t="shared" si="7"/>
        <v>145596</v>
      </c>
      <c r="Q7" s="122">
        <f t="shared" si="8"/>
        <v>1535376</v>
      </c>
      <c r="R7" s="124">
        <f t="shared" si="10"/>
        <v>50660</v>
      </c>
      <c r="S7" s="223">
        <f t="shared" si="9"/>
        <v>1484716</v>
      </c>
      <c r="T7" s="126"/>
      <c r="U7" s="26" t="s">
        <v>148</v>
      </c>
      <c r="V7" s="24" t="s">
        <v>24</v>
      </c>
    </row>
    <row r="8">
      <c r="A8" s="115" t="s">
        <v>78</v>
      </c>
      <c r="B8" s="19">
        <v>7.0</v>
      </c>
      <c r="C8" s="30" t="s">
        <v>129</v>
      </c>
      <c r="D8" s="125">
        <f>sumifs('삼성메가 9월 급여'!$G:$G, '삼성메가 9월 급여'!$C:$C, C8, '삼성메가 9월 급여'!$A:$A, A8) + sumifs('삼성메가 9월 급여'!$L:$L,'삼성메가 9월 급여'!$H:$H,C8, '삼성메가 9월 급여'!$A:$A, A8) + sumifs('삼성메가 9월 급여'!$Q:$Q,'삼성메가 9월 급여'!$M:$M,C8, '삼성메가 9월 급여'!$A:$A, A8) + sumifs('삼성메가 9월 급여'!$V:$V,'삼성메가 9월 급여'!$R:$R,C8, '삼성메가 9월 급여'!$A:$A, A8) + sumifs('삼성메가 9월 급여'!$AA:$AA,'삼성메가 9월 급여'!$W:$W,C8, '삼성메가 9월 급여'!$A:$A, A8) + sumifs('삼성메가 9월 급여'!$AF:$AF,'삼성메가 9월 급여'!$AB:$AB,C8, '삼성메가 9월 급여'!$A:$A, A8) + sumifs('삼성메가 9월 급여'!$AK:$AK,'삼성메가 9월 급여'!$AG:$AG,C8, '삼성메가 9월 급여'!$A:$A, A8)</f>
        <v>14</v>
      </c>
      <c r="E8" s="125" t="str">
        <f t="shared" si="1"/>
        <v>X</v>
      </c>
      <c r="F8" s="222">
        <v>11030.0</v>
      </c>
      <c r="G8" s="122">
        <f t="shared" si="11"/>
        <v>154420</v>
      </c>
      <c r="H8" s="122">
        <f t="shared" ref="H8:H19" si="12">if(E8="O", D8/40*8*F8, 0)</f>
        <v>0</v>
      </c>
      <c r="I8" s="122">
        <f t="shared" si="4"/>
        <v>154420</v>
      </c>
      <c r="J8" s="224"/>
      <c r="K8" s="111"/>
      <c r="L8" s="19">
        <v>7.0</v>
      </c>
      <c r="M8" s="30" t="s">
        <v>129</v>
      </c>
      <c r="N8" s="134">
        <f t="shared" si="5"/>
        <v>49</v>
      </c>
      <c r="O8" s="122">
        <f t="shared" si="6"/>
        <v>540470</v>
      </c>
      <c r="P8" s="122">
        <f t="shared" si="7"/>
        <v>0</v>
      </c>
      <c r="Q8" s="122">
        <f t="shared" si="8"/>
        <v>540470</v>
      </c>
      <c r="R8" s="123">
        <v>0.0</v>
      </c>
      <c r="S8" s="223">
        <f t="shared" si="9"/>
        <v>540470</v>
      </c>
      <c r="T8" s="126"/>
      <c r="U8" s="26" t="s">
        <v>117</v>
      </c>
      <c r="V8" s="135" t="s">
        <v>35</v>
      </c>
    </row>
    <row r="9">
      <c r="A9" s="115" t="s">
        <v>78</v>
      </c>
      <c r="B9" s="19">
        <v>8.0</v>
      </c>
      <c r="C9" s="30" t="s">
        <v>133</v>
      </c>
      <c r="D9" s="125">
        <f>sumifs('삼성메가 9월 급여'!$G:$G, '삼성메가 9월 급여'!$C:$C, C9, '삼성메가 9월 급여'!$A:$A, A9) + sumifs('삼성메가 9월 급여'!$L:$L,'삼성메가 9월 급여'!$H:$H,C9, '삼성메가 9월 급여'!$A:$A, A9) + sumifs('삼성메가 9월 급여'!$Q:$Q,'삼성메가 9월 급여'!$M:$M,C9, '삼성메가 9월 급여'!$A:$A, A9) + sumifs('삼성메가 9월 급여'!$V:$V,'삼성메가 9월 급여'!$R:$R,C9, '삼성메가 9월 급여'!$A:$A, A9) + sumifs('삼성메가 9월 급여'!$AA:$AA,'삼성메가 9월 급여'!$W:$W,C9, '삼성메가 9월 급여'!$A:$A, A9) + sumifs('삼성메가 9월 급여'!$AF:$AF,'삼성메가 9월 급여'!$AB:$AB,C9, '삼성메가 9월 급여'!$A:$A, A9) + sumifs('삼성메가 9월 급여'!$AK:$AK,'삼성메가 9월 급여'!$AG:$AG,C9, '삼성메가 9월 급여'!$A:$A, A9)</f>
        <v>19</v>
      </c>
      <c r="E9" s="141" t="s">
        <v>99</v>
      </c>
      <c r="F9" s="222">
        <v>11030.0</v>
      </c>
      <c r="G9" s="122">
        <f t="shared" si="11"/>
        <v>209570</v>
      </c>
      <c r="H9" s="122">
        <f t="shared" si="12"/>
        <v>0</v>
      </c>
      <c r="I9" s="122">
        <f t="shared" si="4"/>
        <v>209570</v>
      </c>
      <c r="J9" s="224"/>
      <c r="K9" s="111"/>
      <c r="L9" s="19">
        <v>8.0</v>
      </c>
      <c r="M9" s="30" t="s">
        <v>133</v>
      </c>
      <c r="N9" s="134">
        <f t="shared" si="5"/>
        <v>32.5</v>
      </c>
      <c r="O9" s="122">
        <f t="shared" si="6"/>
        <v>358475</v>
      </c>
      <c r="P9" s="122">
        <f t="shared" si="7"/>
        <v>0</v>
      </c>
      <c r="Q9" s="122">
        <f t="shared" si="8"/>
        <v>358475</v>
      </c>
      <c r="R9" s="123">
        <v>0.0</v>
      </c>
      <c r="S9" s="223">
        <f t="shared" si="9"/>
        <v>358475</v>
      </c>
      <c r="T9" s="145"/>
      <c r="U9" s="231" t="s">
        <v>149</v>
      </c>
      <c r="V9" s="129" t="s">
        <v>24</v>
      </c>
    </row>
    <row r="10">
      <c r="A10" s="115" t="s">
        <v>78</v>
      </c>
      <c r="B10" s="19">
        <v>9.0</v>
      </c>
      <c r="C10" s="30" t="s">
        <v>80</v>
      </c>
      <c r="D10" s="125">
        <f>sumifs('삼성메가 9월 급여'!$G:$G, '삼성메가 9월 급여'!$C:$C, C10, '삼성메가 9월 급여'!$A:$A, A10) + sumifs('삼성메가 9월 급여'!$L:$L,'삼성메가 9월 급여'!$H:$H,C10, '삼성메가 9월 급여'!$A:$A, A10) + sumifs('삼성메가 9월 급여'!$Q:$Q,'삼성메가 9월 급여'!$M:$M,C10, '삼성메가 9월 급여'!$A:$A, A10) + sumifs('삼성메가 9월 급여'!$V:$V,'삼성메가 9월 급여'!$R:$R,C10, '삼성메가 9월 급여'!$A:$A, A10) + sumifs('삼성메가 9월 급여'!$AA:$AA,'삼성메가 9월 급여'!$W:$W,C10, '삼성메가 9월 급여'!$A:$A, A10) + sumifs('삼성메가 9월 급여'!$AF:$AF,'삼성메가 9월 급여'!$AB:$AB,C10, '삼성메가 9월 급여'!$A:$A, A10) + sumifs('삼성메가 9월 급여'!$AK:$AK,'삼성메가 9월 급여'!$AG:$AG,C10, '삼성메가 9월 급여'!$A:$A, A10)</f>
        <v>8</v>
      </c>
      <c r="E10" s="125" t="str">
        <f t="shared" ref="E10:E97" si="13">if(D10 &gt; 15, "O", "X")</f>
        <v>X</v>
      </c>
      <c r="F10" s="222">
        <v>10030.0</v>
      </c>
      <c r="G10" s="122">
        <f t="shared" si="11"/>
        <v>80240</v>
      </c>
      <c r="H10" s="122">
        <f t="shared" si="12"/>
        <v>0</v>
      </c>
      <c r="I10" s="122">
        <f t="shared" si="4"/>
        <v>80240</v>
      </c>
      <c r="J10" s="224"/>
      <c r="K10" s="111"/>
      <c r="L10" s="19">
        <v>9.0</v>
      </c>
      <c r="M10" s="30" t="s">
        <v>80</v>
      </c>
      <c r="N10" s="134">
        <f t="shared" si="5"/>
        <v>32</v>
      </c>
      <c r="O10" s="122">
        <f t="shared" si="6"/>
        <v>320960</v>
      </c>
      <c r="P10" s="122">
        <f t="shared" si="7"/>
        <v>0</v>
      </c>
      <c r="Q10" s="122">
        <f t="shared" si="8"/>
        <v>320960</v>
      </c>
      <c r="R10" s="123">
        <v>0.0</v>
      </c>
      <c r="S10" s="223">
        <f t="shared" si="9"/>
        <v>320960</v>
      </c>
      <c r="T10" s="126"/>
      <c r="U10" s="232" t="s">
        <v>129</v>
      </c>
      <c r="V10" s="135" t="s">
        <v>35</v>
      </c>
    </row>
    <row r="11">
      <c r="A11" s="115" t="s">
        <v>78</v>
      </c>
      <c r="B11" s="19">
        <v>10.0</v>
      </c>
      <c r="C11" s="116" t="s">
        <v>50</v>
      </c>
      <c r="D11" s="125">
        <f>sumifs('삼성메가 9월 급여'!$G:$G, '삼성메가 9월 급여'!$C:$C, C11, '삼성메가 9월 급여'!$A:$A, A11) + sumifs('삼성메가 9월 급여'!$L:$L,'삼성메가 9월 급여'!$H:$H,C11, '삼성메가 9월 급여'!$A:$A, A11) + sumifs('삼성메가 9월 급여'!$Q:$Q,'삼성메가 9월 급여'!$M:$M,C11, '삼성메가 9월 급여'!$A:$A, A11) + sumifs('삼성메가 9월 급여'!$V:$V,'삼성메가 9월 급여'!$R:$R,C11, '삼성메가 9월 급여'!$A:$A, A11) + sumifs('삼성메가 9월 급여'!$AA:$AA,'삼성메가 9월 급여'!$W:$W,C11, '삼성메가 9월 급여'!$A:$A, A11) + sumifs('삼성메가 9월 급여'!$AF:$AF,'삼성메가 9월 급여'!$AB:$AB,C11, '삼성메가 9월 급여'!$A:$A, A11) + sumifs('삼성메가 9월 급여'!$AK:$AK,'삼성메가 9월 급여'!$AG:$AG,C11, '삼성메가 9월 급여'!$A:$A, A11)</f>
        <v>10</v>
      </c>
      <c r="E11" s="125" t="str">
        <f t="shared" si="13"/>
        <v>X</v>
      </c>
      <c r="F11" s="222">
        <v>10030.0</v>
      </c>
      <c r="G11" s="122">
        <f t="shared" si="11"/>
        <v>100300</v>
      </c>
      <c r="H11" s="122">
        <f t="shared" si="12"/>
        <v>0</v>
      </c>
      <c r="I11" s="122">
        <f t="shared" si="4"/>
        <v>100300</v>
      </c>
      <c r="J11" s="224"/>
      <c r="K11" s="111"/>
      <c r="L11" s="19">
        <v>10.0</v>
      </c>
      <c r="M11" s="116" t="s">
        <v>50</v>
      </c>
      <c r="N11" s="134">
        <f t="shared" si="5"/>
        <v>37</v>
      </c>
      <c r="O11" s="122">
        <f t="shared" si="6"/>
        <v>371110</v>
      </c>
      <c r="P11" s="122">
        <f t="shared" si="7"/>
        <v>0</v>
      </c>
      <c r="Q11" s="122">
        <f t="shared" si="8"/>
        <v>371110</v>
      </c>
      <c r="R11" s="123">
        <v>0.0</v>
      </c>
      <c r="S11" s="223">
        <f t="shared" si="9"/>
        <v>371110</v>
      </c>
      <c r="T11" s="126"/>
      <c r="U11" s="26" t="s">
        <v>150</v>
      </c>
      <c r="V11" s="135" t="s">
        <v>35</v>
      </c>
    </row>
    <row r="12">
      <c r="A12" s="115" t="s">
        <v>78</v>
      </c>
      <c r="B12" s="19">
        <v>11.0</v>
      </c>
      <c r="C12" s="116"/>
      <c r="D12" s="125">
        <f>sumifs('삼성메가 9월 급여'!$G:$G, '삼성메가 9월 급여'!$C:$C, C12, '삼성메가 9월 급여'!$A:$A, A12) + sumifs('삼성메가 9월 급여'!$L:$L,'삼성메가 9월 급여'!$H:$H,C12, '삼성메가 9월 급여'!$A:$A, A12) + sumifs('삼성메가 9월 급여'!$Q:$Q,'삼성메가 9월 급여'!$M:$M,C12, '삼성메가 9월 급여'!$A:$A, A12) + sumifs('삼성메가 9월 급여'!$V:$V,'삼성메가 9월 급여'!$R:$R,C12, '삼성메가 9월 급여'!$A:$A, A12) + sumifs('삼성메가 9월 급여'!$AA:$AA,'삼성메가 9월 급여'!$W:$W,C12, '삼성메가 9월 급여'!$A:$A, A12) + sumifs('삼성메가 9월 급여'!$AF:$AF,'삼성메가 9월 급여'!$AB:$AB,C12, '삼성메가 9월 급여'!$A:$A, A12) + sumifs('삼성메가 9월 급여'!$AK:$AK,'삼성메가 9월 급여'!$AG:$AG,C12, '삼성메가 9월 급여'!$A:$A, A12)</f>
        <v>0</v>
      </c>
      <c r="E12" s="125" t="str">
        <f t="shared" si="13"/>
        <v>X</v>
      </c>
      <c r="F12" s="222">
        <v>10030.0</v>
      </c>
      <c r="G12" s="122">
        <f t="shared" si="11"/>
        <v>0</v>
      </c>
      <c r="H12" s="122">
        <f t="shared" si="12"/>
        <v>0</v>
      </c>
      <c r="I12" s="122">
        <f t="shared" si="4"/>
        <v>0</v>
      </c>
      <c r="J12" s="224"/>
      <c r="K12" s="111"/>
      <c r="L12" s="19">
        <v>11.0</v>
      </c>
      <c r="M12" s="116"/>
      <c r="N12" s="134">
        <f t="shared" si="5"/>
        <v>0</v>
      </c>
      <c r="O12" s="122">
        <f t="shared" si="6"/>
        <v>0</v>
      </c>
      <c r="P12" s="122">
        <f t="shared" si="7"/>
        <v>0</v>
      </c>
      <c r="Q12" s="122">
        <f t="shared" si="8"/>
        <v>0</v>
      </c>
      <c r="R12" s="123">
        <v>0.0</v>
      </c>
      <c r="S12" s="223">
        <f t="shared" si="9"/>
        <v>0</v>
      </c>
      <c r="T12" s="126"/>
      <c r="U12" s="233" t="s">
        <v>151</v>
      </c>
      <c r="V12" s="129" t="s">
        <v>24</v>
      </c>
    </row>
    <row r="13">
      <c r="A13" s="115" t="s">
        <v>78</v>
      </c>
      <c r="B13" s="19">
        <v>12.0</v>
      </c>
      <c r="C13" s="116"/>
      <c r="D13" s="125">
        <f>sumifs('삼성메가 9월 급여'!$G:$G, '삼성메가 9월 급여'!$C:$C, C13, '삼성메가 9월 급여'!$A:$A, A13) + sumifs('삼성메가 9월 급여'!$L:$L,'삼성메가 9월 급여'!$H:$H,C13, '삼성메가 9월 급여'!$A:$A, A13) + sumifs('삼성메가 9월 급여'!$Q:$Q,'삼성메가 9월 급여'!$M:$M,C13, '삼성메가 9월 급여'!$A:$A, A13) + sumifs('삼성메가 9월 급여'!$V:$V,'삼성메가 9월 급여'!$R:$R,C13, '삼성메가 9월 급여'!$A:$A, A13) + sumifs('삼성메가 9월 급여'!$AA:$AA,'삼성메가 9월 급여'!$W:$W,C13, '삼성메가 9월 급여'!$A:$A, A13) + sumifs('삼성메가 9월 급여'!$AF:$AF,'삼성메가 9월 급여'!$AB:$AB,C13, '삼성메가 9월 급여'!$A:$A, A13) + sumifs('삼성메가 9월 급여'!$AK:$AK,'삼성메가 9월 급여'!$AG:$AG,C13, '삼성메가 9월 급여'!$A:$A, A13)</f>
        <v>0</v>
      </c>
      <c r="E13" s="125" t="str">
        <f t="shared" si="13"/>
        <v>X</v>
      </c>
      <c r="F13" s="222">
        <v>10030.0</v>
      </c>
      <c r="G13" s="122">
        <f t="shared" si="11"/>
        <v>0</v>
      </c>
      <c r="H13" s="122">
        <f t="shared" si="12"/>
        <v>0</v>
      </c>
      <c r="I13" s="122">
        <f t="shared" si="4"/>
        <v>0</v>
      </c>
      <c r="J13" s="224"/>
      <c r="K13" s="111"/>
      <c r="L13" s="19">
        <v>12.0</v>
      </c>
      <c r="M13" s="116"/>
      <c r="N13" s="134">
        <f t="shared" si="5"/>
        <v>0</v>
      </c>
      <c r="O13" s="122">
        <f t="shared" si="6"/>
        <v>0</v>
      </c>
      <c r="P13" s="122">
        <f t="shared" si="7"/>
        <v>0</v>
      </c>
      <c r="Q13" s="122">
        <f t="shared" si="8"/>
        <v>0</v>
      </c>
      <c r="R13" s="124">
        <f t="shared" ref="R13:R17" si="14">trunc(Q13*3%,-1)+trunc((Q13*3%)/10, -1)</f>
        <v>0</v>
      </c>
      <c r="S13" s="223">
        <f t="shared" si="9"/>
        <v>0</v>
      </c>
      <c r="T13" s="126"/>
      <c r="U13" s="26" t="s">
        <v>80</v>
      </c>
      <c r="V13" s="76" t="s">
        <v>138</v>
      </c>
    </row>
    <row r="14">
      <c r="A14" s="115" t="s">
        <v>78</v>
      </c>
      <c r="B14" s="19">
        <v>13.0</v>
      </c>
      <c r="C14" s="116"/>
      <c r="D14" s="125">
        <f>sumifs('삼성메가 9월 급여'!$G:$G, '삼성메가 9월 급여'!$C:$C, C14, '삼성메가 9월 급여'!$A:$A, A14) + sumifs('삼성메가 9월 급여'!$L:$L,'삼성메가 9월 급여'!$H:$H,C14, '삼성메가 9월 급여'!$A:$A, A14) + sumifs('삼성메가 9월 급여'!$Q:$Q,'삼성메가 9월 급여'!$M:$M,C14, '삼성메가 9월 급여'!$A:$A, A14) + sumifs('삼성메가 9월 급여'!$V:$V,'삼성메가 9월 급여'!$R:$R,C14, '삼성메가 9월 급여'!$A:$A, A14) + sumifs('삼성메가 9월 급여'!$AA:$AA,'삼성메가 9월 급여'!$W:$W,C14, '삼성메가 9월 급여'!$A:$A, A14) + sumifs('삼성메가 9월 급여'!$AF:$AF,'삼성메가 9월 급여'!$AB:$AB,C14, '삼성메가 9월 급여'!$A:$A, A14) + sumifs('삼성메가 9월 급여'!$AK:$AK,'삼성메가 9월 급여'!$AG:$AG,C14, '삼성메가 9월 급여'!$A:$A, A14)</f>
        <v>0</v>
      </c>
      <c r="E14" s="125" t="str">
        <f t="shared" si="13"/>
        <v>X</v>
      </c>
      <c r="F14" s="222">
        <v>10030.0</v>
      </c>
      <c r="G14" s="122">
        <f t="shared" si="11"/>
        <v>0</v>
      </c>
      <c r="H14" s="122">
        <f t="shared" si="12"/>
        <v>0</v>
      </c>
      <c r="I14" s="122">
        <f t="shared" si="4"/>
        <v>0</v>
      </c>
      <c r="J14" s="224"/>
      <c r="K14" s="111"/>
      <c r="L14" s="19">
        <v>13.0</v>
      </c>
      <c r="M14" s="116"/>
      <c r="N14" s="134">
        <f t="shared" si="5"/>
        <v>0</v>
      </c>
      <c r="O14" s="122">
        <f t="shared" si="6"/>
        <v>0</v>
      </c>
      <c r="P14" s="120">
        <f t="shared" si="7"/>
        <v>0</v>
      </c>
      <c r="Q14" s="122">
        <f t="shared" si="8"/>
        <v>0</v>
      </c>
      <c r="R14" s="124">
        <f t="shared" si="14"/>
        <v>0</v>
      </c>
      <c r="S14" s="223">
        <f t="shared" si="9"/>
        <v>0</v>
      </c>
      <c r="T14" s="126"/>
      <c r="U14" s="226" t="s">
        <v>152</v>
      </c>
      <c r="V14" s="129" t="s">
        <v>24</v>
      </c>
    </row>
    <row r="15">
      <c r="A15" s="115" t="s">
        <v>78</v>
      </c>
      <c r="B15" s="19">
        <v>14.0</v>
      </c>
      <c r="C15" s="126"/>
      <c r="D15" s="125">
        <f>sumifs('삼성메가 9월 급여'!$G:$G, '삼성메가 9월 급여'!$C:$C, C15, '삼성메가 9월 급여'!$A:$A, A15) + sumifs('삼성메가 9월 급여'!$L:$L,'삼성메가 9월 급여'!$H:$H,C15, '삼성메가 9월 급여'!$A:$A, A15) + sumifs('삼성메가 9월 급여'!$Q:$Q,'삼성메가 9월 급여'!$M:$M,C15, '삼성메가 9월 급여'!$A:$A, A15) + sumifs('삼성메가 9월 급여'!$V:$V,'삼성메가 9월 급여'!$R:$R,C15, '삼성메가 9월 급여'!$A:$A, A15) + sumifs('삼성메가 9월 급여'!$AA:$AA,'삼성메가 9월 급여'!$W:$W,C15, '삼성메가 9월 급여'!$A:$A, A15) + sumifs('삼성메가 9월 급여'!$AF:$AF,'삼성메가 9월 급여'!$AB:$AB,C15, '삼성메가 9월 급여'!$A:$A, A15) + sumifs('삼성메가 9월 급여'!$AK:$AK,'삼성메가 9월 급여'!$AG:$AG,C15, '삼성메가 9월 급여'!$A:$A, A15)</f>
        <v>0</v>
      </c>
      <c r="E15" s="125" t="str">
        <f t="shared" si="13"/>
        <v>X</v>
      </c>
      <c r="F15" s="222">
        <v>10030.0</v>
      </c>
      <c r="G15" s="122">
        <f t="shared" si="11"/>
        <v>0</v>
      </c>
      <c r="H15" s="122">
        <f t="shared" si="12"/>
        <v>0</v>
      </c>
      <c r="I15" s="122">
        <f t="shared" si="4"/>
        <v>0</v>
      </c>
      <c r="J15" s="224"/>
      <c r="K15" s="111"/>
      <c r="L15" s="19">
        <v>14.0</v>
      </c>
      <c r="M15" s="126"/>
      <c r="N15" s="134">
        <f t="shared" si="5"/>
        <v>0</v>
      </c>
      <c r="O15" s="122">
        <f t="shared" si="6"/>
        <v>0</v>
      </c>
      <c r="P15" s="122">
        <f t="shared" si="7"/>
        <v>0</v>
      </c>
      <c r="Q15" s="122">
        <f t="shared" si="8"/>
        <v>0</v>
      </c>
      <c r="R15" s="124">
        <f t="shared" si="14"/>
        <v>0</v>
      </c>
      <c r="S15" s="223">
        <f t="shared" si="9"/>
        <v>0</v>
      </c>
      <c r="T15" s="126"/>
    </row>
    <row r="16">
      <c r="A16" s="115" t="s">
        <v>78</v>
      </c>
      <c r="B16" s="19">
        <v>15.0</v>
      </c>
      <c r="C16" s="126"/>
      <c r="D16" s="125">
        <f>sumifs('삼성메가 9월 급여'!$G:$G, '삼성메가 9월 급여'!$C:$C, C16, '삼성메가 9월 급여'!$A:$A, A16) + sumifs('삼성메가 9월 급여'!$L:$L,'삼성메가 9월 급여'!$H:$H,C16, '삼성메가 9월 급여'!$A:$A, A16) + sumifs('삼성메가 9월 급여'!$Q:$Q,'삼성메가 9월 급여'!$M:$M,C16, '삼성메가 9월 급여'!$A:$A, A16) + sumifs('삼성메가 9월 급여'!$V:$V,'삼성메가 9월 급여'!$R:$R,C16, '삼성메가 9월 급여'!$A:$A, A16) + sumifs('삼성메가 9월 급여'!$AA:$AA,'삼성메가 9월 급여'!$W:$W,C16, '삼성메가 9월 급여'!$A:$A, A16) + sumifs('삼성메가 9월 급여'!$AF:$AF,'삼성메가 9월 급여'!$AB:$AB,C16, '삼성메가 9월 급여'!$A:$A, A16) + sumifs('삼성메가 9월 급여'!$AK:$AK,'삼성메가 9월 급여'!$AG:$AG,C16, '삼성메가 9월 급여'!$A:$A, A16)</f>
        <v>0</v>
      </c>
      <c r="E16" s="125" t="str">
        <f t="shared" si="13"/>
        <v>X</v>
      </c>
      <c r="F16" s="222">
        <v>10030.0</v>
      </c>
      <c r="G16" s="122">
        <f t="shared" si="11"/>
        <v>0</v>
      </c>
      <c r="H16" s="122">
        <f t="shared" si="12"/>
        <v>0</v>
      </c>
      <c r="I16" s="122">
        <f t="shared" si="4"/>
        <v>0</v>
      </c>
      <c r="J16" s="224"/>
      <c r="K16" s="111"/>
      <c r="L16" s="19">
        <v>15.0</v>
      </c>
      <c r="M16" s="126"/>
      <c r="N16" s="134">
        <f t="shared" si="5"/>
        <v>0</v>
      </c>
      <c r="O16" s="122">
        <f t="shared" si="6"/>
        <v>0</v>
      </c>
      <c r="P16" s="122">
        <f t="shared" si="7"/>
        <v>0</v>
      </c>
      <c r="Q16" s="122">
        <f t="shared" si="8"/>
        <v>0</v>
      </c>
      <c r="R16" s="124">
        <f t="shared" si="14"/>
        <v>0</v>
      </c>
      <c r="S16" s="223">
        <f t="shared" si="9"/>
        <v>0</v>
      </c>
      <c r="T16" s="126"/>
    </row>
    <row r="17">
      <c r="A17" s="115" t="s">
        <v>78</v>
      </c>
      <c r="B17" s="19">
        <v>16.0</v>
      </c>
      <c r="C17" s="30"/>
      <c r="D17" s="125">
        <f>sumifs('삼성메가 9월 급여'!$G:$G, '삼성메가 9월 급여'!$C:$C, C17, '삼성메가 9월 급여'!$A:$A, A17) + sumifs('삼성메가 9월 급여'!$L:$L,'삼성메가 9월 급여'!$H:$H,C17, '삼성메가 9월 급여'!$A:$A, A17) + sumifs('삼성메가 9월 급여'!$Q:$Q,'삼성메가 9월 급여'!$M:$M,C17, '삼성메가 9월 급여'!$A:$A, A17) + sumifs('삼성메가 9월 급여'!$V:$V,'삼성메가 9월 급여'!$R:$R,C17, '삼성메가 9월 급여'!$A:$A, A17) + sumifs('삼성메가 9월 급여'!$AA:$AA,'삼성메가 9월 급여'!$W:$W,C17, '삼성메가 9월 급여'!$A:$A, A17) + sumifs('삼성메가 9월 급여'!$AF:$AF,'삼성메가 9월 급여'!$AB:$AB,C17, '삼성메가 9월 급여'!$A:$A, A17) + sumifs('삼성메가 9월 급여'!$AK:$AK,'삼성메가 9월 급여'!$AG:$AG,C17, '삼성메가 9월 급여'!$A:$A, A17)</f>
        <v>0</v>
      </c>
      <c r="E17" s="125" t="str">
        <f t="shared" si="13"/>
        <v>X</v>
      </c>
      <c r="F17" s="222">
        <v>10030.0</v>
      </c>
      <c r="G17" s="122">
        <f t="shared" si="11"/>
        <v>0</v>
      </c>
      <c r="H17" s="122">
        <f t="shared" si="12"/>
        <v>0</v>
      </c>
      <c r="I17" s="122">
        <f t="shared" si="4"/>
        <v>0</v>
      </c>
      <c r="J17" s="224"/>
      <c r="K17" s="111"/>
      <c r="L17" s="19">
        <v>16.0</v>
      </c>
      <c r="M17" s="30"/>
      <c r="N17" s="134">
        <f t="shared" si="5"/>
        <v>0</v>
      </c>
      <c r="O17" s="122">
        <f t="shared" si="6"/>
        <v>0</v>
      </c>
      <c r="P17" s="122">
        <f t="shared" si="7"/>
        <v>0</v>
      </c>
      <c r="Q17" s="122">
        <f t="shared" si="8"/>
        <v>0</v>
      </c>
      <c r="R17" s="124">
        <f t="shared" si="14"/>
        <v>0</v>
      </c>
      <c r="S17" s="223">
        <f t="shared" si="9"/>
        <v>0</v>
      </c>
      <c r="T17" s="145"/>
      <c r="U17" s="229" t="s">
        <v>153</v>
      </c>
      <c r="V17" s="230" t="s">
        <v>24</v>
      </c>
    </row>
    <row r="18">
      <c r="A18" s="144" t="s">
        <v>81</v>
      </c>
      <c r="B18" s="19">
        <v>1.0</v>
      </c>
      <c r="C18" s="30" t="s">
        <v>16</v>
      </c>
      <c r="D18" s="125">
        <f>sumifs('삼성메가 9월 급여'!$G:$G, '삼성메가 9월 급여'!$C:$C, C18, '삼성메가 9월 급여'!$A:$A, A18) + sumifs('삼성메가 9월 급여'!$L:$L,'삼성메가 9월 급여'!$H:$H,C18, '삼성메가 9월 급여'!$A:$A, A18) + sumifs('삼성메가 9월 급여'!$Q:$Q,'삼성메가 9월 급여'!$M:$M,C18, '삼성메가 9월 급여'!$A:$A, A18) + sumifs('삼성메가 9월 급여'!$V:$V,'삼성메가 9월 급여'!$R:$R,C18, '삼성메가 9월 급여'!$A:$A, A18) + sumifs('삼성메가 9월 급여'!$AA:$AA,'삼성메가 9월 급여'!$W:$W,C18, '삼성메가 9월 급여'!$A:$A, A18) + sumifs('삼성메가 9월 급여'!$AF:$AF,'삼성메가 9월 급여'!$AB:$AB,C18, '삼성메가 9월 급여'!$A:$A, A18) + sumifs('삼성메가 9월 급여'!$AK:$AK,'삼성메가 9월 급여'!$AG:$AG,C18, '삼성메가 9월 급여'!$A:$A, A18)</f>
        <v>35</v>
      </c>
      <c r="E18" s="125" t="str">
        <f t="shared" si="13"/>
        <v>O</v>
      </c>
      <c r="F18" s="222">
        <v>10030.0</v>
      </c>
      <c r="G18" s="122">
        <f t="shared" si="11"/>
        <v>351050</v>
      </c>
      <c r="H18" s="122">
        <f t="shared" si="12"/>
        <v>70210</v>
      </c>
      <c r="I18" s="122">
        <f t="shared" si="4"/>
        <v>421260</v>
      </c>
      <c r="J18" s="224"/>
      <c r="K18" s="111"/>
      <c r="N18" s="234"/>
      <c r="O18" s="111"/>
      <c r="P18" s="111"/>
      <c r="Q18" s="111"/>
      <c r="R18" s="111"/>
      <c r="S18" s="111"/>
      <c r="T18" s="111"/>
      <c r="U18" s="111"/>
      <c r="V18" s="111"/>
    </row>
    <row r="19">
      <c r="A19" s="144" t="s">
        <v>81</v>
      </c>
      <c r="B19" s="19">
        <v>2.0</v>
      </c>
      <c r="C19" s="30" t="s">
        <v>110</v>
      </c>
      <c r="D19" s="125">
        <f>sumifs('삼성메가 9월 급여'!$G:$G, '삼성메가 9월 급여'!$C:$C, C19, '삼성메가 9월 급여'!$A:$A, A19) + sumifs('삼성메가 9월 급여'!$L:$L,'삼성메가 9월 급여'!$H:$H,C19, '삼성메가 9월 급여'!$A:$A, A19) + sumifs('삼성메가 9월 급여'!$Q:$Q,'삼성메가 9월 급여'!$M:$M,C19, '삼성메가 9월 급여'!$A:$A, A19) + sumifs('삼성메가 9월 급여'!$V:$V,'삼성메가 9월 급여'!$R:$R,C19, '삼성메가 9월 급여'!$A:$A, A19) + sumifs('삼성메가 9월 급여'!$AA:$AA,'삼성메가 9월 급여'!$W:$W,C19, '삼성메가 9월 급여'!$A:$A, A19) + sumifs('삼성메가 9월 급여'!$AF:$AF,'삼성메가 9월 급여'!$AB:$AB,C19, '삼성메가 9월 급여'!$A:$A, A19) + sumifs('삼성메가 9월 급여'!$AK:$AK,'삼성메가 9월 급여'!$AG:$AG,C19, '삼성메가 9월 급여'!$A:$A, A19)</f>
        <v>12.5</v>
      </c>
      <c r="E19" s="125" t="str">
        <f t="shared" si="13"/>
        <v>X</v>
      </c>
      <c r="F19" s="222">
        <v>11030.0</v>
      </c>
      <c r="G19" s="122">
        <f t="shared" si="11"/>
        <v>137875</v>
      </c>
      <c r="H19" s="122">
        <f t="shared" si="12"/>
        <v>0</v>
      </c>
      <c r="I19" s="122">
        <f t="shared" si="4"/>
        <v>137875</v>
      </c>
      <c r="J19" s="224"/>
      <c r="K19" s="111"/>
      <c r="N19" s="234"/>
      <c r="O19" s="111"/>
      <c r="P19" s="111"/>
      <c r="Q19" s="111"/>
      <c r="R19" s="111"/>
      <c r="S19" s="111"/>
      <c r="T19" s="111"/>
      <c r="U19" s="111"/>
      <c r="V19" s="111"/>
    </row>
    <row r="20">
      <c r="A20" s="144" t="s">
        <v>81</v>
      </c>
      <c r="B20" s="19">
        <v>3.0</v>
      </c>
      <c r="C20" s="30" t="s">
        <v>113</v>
      </c>
      <c r="D20" s="125">
        <f>sumifs('삼성메가 9월 급여'!$G:$G, '삼성메가 9월 급여'!$C:$C, C20, '삼성메가 9월 급여'!$A:$A, A20) + sumifs('삼성메가 9월 급여'!$L:$L,'삼성메가 9월 급여'!$H:$H,C20, '삼성메가 9월 급여'!$A:$A, A20) + sumifs('삼성메가 9월 급여'!$Q:$Q,'삼성메가 9월 급여'!$M:$M,C20, '삼성메가 9월 급여'!$A:$A, A20) + sumifs('삼성메가 9월 급여'!$V:$V,'삼성메가 9월 급여'!$R:$R,C20, '삼성메가 9월 급여'!$A:$A, A20) + sumifs('삼성메가 9월 급여'!$AA:$AA,'삼성메가 9월 급여'!$W:$W,C20, '삼성메가 9월 급여'!$A:$A, A20) + sumifs('삼성메가 9월 급여'!$AF:$AF,'삼성메가 9월 급여'!$AB:$AB,C20, '삼성메가 9월 급여'!$A:$A, A20) + sumifs('삼성메가 9월 급여'!$AK:$AK,'삼성메가 9월 급여'!$AG:$AG,C20, '삼성메가 9월 급여'!$A:$A, A20)</f>
        <v>49.5</v>
      </c>
      <c r="E20" s="125" t="str">
        <f t="shared" si="13"/>
        <v>O</v>
      </c>
      <c r="F20" s="222">
        <v>11030.0</v>
      </c>
      <c r="G20" s="122">
        <f t="shared" si="11"/>
        <v>545985</v>
      </c>
      <c r="H20" s="122">
        <f>if(E20="O", 40/40*8*F20, 0)</f>
        <v>88240</v>
      </c>
      <c r="I20" s="122">
        <f t="shared" si="4"/>
        <v>634225</v>
      </c>
      <c r="J20" s="224"/>
      <c r="K20" s="111"/>
      <c r="N20" s="234"/>
      <c r="O20" s="111"/>
      <c r="P20" s="111"/>
      <c r="Q20" s="111"/>
      <c r="R20" s="111"/>
      <c r="S20" s="111"/>
      <c r="T20" s="111"/>
      <c r="U20" s="111"/>
      <c r="V20" s="111"/>
    </row>
    <row r="21">
      <c r="A21" s="144" t="s">
        <v>81</v>
      </c>
      <c r="B21" s="19">
        <v>4.0</v>
      </c>
      <c r="C21" s="30" t="s">
        <v>117</v>
      </c>
      <c r="D21" s="125">
        <f>sumifs('삼성메가 9월 급여'!$G:$G, '삼성메가 9월 급여'!$C:$C, C21, '삼성메가 9월 급여'!$A:$A, A21) + sumifs('삼성메가 9월 급여'!$L:$L,'삼성메가 9월 급여'!$H:$H,C21, '삼성메가 9월 급여'!$A:$A, A21) + sumifs('삼성메가 9월 급여'!$Q:$Q,'삼성메가 9월 급여'!$M:$M,C21, '삼성메가 9월 급여'!$A:$A, A21) + sumifs('삼성메가 9월 급여'!$V:$V,'삼성메가 9월 급여'!$R:$R,C21, '삼성메가 9월 급여'!$A:$A, A21) + sumifs('삼성메가 9월 급여'!$AA:$AA,'삼성메가 9월 급여'!$W:$W,C21, '삼성메가 9월 급여'!$A:$A, A21) + sumifs('삼성메가 9월 급여'!$AF:$AF,'삼성메가 9월 급여'!$AB:$AB,C21, '삼성메가 9월 급여'!$A:$A, A21) + sumifs('삼성메가 9월 급여'!$AK:$AK,'삼성메가 9월 급여'!$AG:$AG,C21, '삼성메가 9월 급여'!$A:$A, A21)</f>
        <v>5</v>
      </c>
      <c r="E21" s="125" t="str">
        <f t="shared" si="13"/>
        <v>X</v>
      </c>
      <c r="F21" s="222">
        <v>10030.0</v>
      </c>
      <c r="G21" s="122">
        <f t="shared" si="11"/>
        <v>50150</v>
      </c>
      <c r="H21" s="122">
        <f>if(E21="O", D21/40*8*F21, 0)</f>
        <v>0</v>
      </c>
      <c r="I21" s="122">
        <f t="shared" si="4"/>
        <v>50150</v>
      </c>
      <c r="J21" s="224"/>
      <c r="K21" s="111"/>
      <c r="L21" s="111"/>
      <c r="M21" s="111"/>
      <c r="N21" s="234"/>
      <c r="O21" s="111"/>
      <c r="P21" s="111"/>
      <c r="Q21" s="111"/>
      <c r="R21" s="111"/>
      <c r="S21" s="111"/>
      <c r="T21" s="111"/>
      <c r="U21" s="111"/>
      <c r="V21" s="111"/>
    </row>
    <row r="22">
      <c r="A22" s="144" t="s">
        <v>81</v>
      </c>
      <c r="B22" s="19">
        <v>5.0</v>
      </c>
      <c r="C22" s="163" t="s">
        <v>121</v>
      </c>
      <c r="D22" s="125">
        <f>sumifs('삼성메가 9월 급여'!$G:$G, '삼성메가 9월 급여'!$C:$C, C22, '삼성메가 9월 급여'!$A:$A, A22) + sumifs('삼성메가 9월 급여'!$L:$L,'삼성메가 9월 급여'!$H:$H,C22, '삼성메가 9월 급여'!$A:$A, A22) + sumifs('삼성메가 9월 급여'!$Q:$Q,'삼성메가 9월 급여'!$M:$M,C22, '삼성메가 9월 급여'!$A:$A, A22) + sumifs('삼성메가 9월 급여'!$V:$V,'삼성메가 9월 급여'!$R:$R,C22, '삼성메가 9월 급여'!$A:$A, A22) + sumifs('삼성메가 9월 급여'!$AA:$AA,'삼성메가 9월 급여'!$W:$W,C22, '삼성메가 9월 급여'!$A:$A, A22) + sumifs('삼성메가 9월 급여'!$AF:$AF,'삼성메가 9월 급여'!$AB:$AB,C22, '삼성메가 9월 급여'!$A:$A, A22) + sumifs('삼성메가 9월 급여'!$AK:$AK,'삼성메가 9월 급여'!$AG:$AG,C22, '삼성메가 9월 급여'!$A:$A, A22)</f>
        <v>16</v>
      </c>
      <c r="E22" s="125" t="str">
        <f t="shared" si="13"/>
        <v>O</v>
      </c>
      <c r="F22" s="222">
        <v>11030.0</v>
      </c>
      <c r="G22" s="122">
        <f t="shared" si="11"/>
        <v>176480</v>
      </c>
      <c r="H22" s="228">
        <f>if(E22="O", 16/40*8*F22, 0)</f>
        <v>35296</v>
      </c>
      <c r="I22" s="122">
        <f t="shared" si="4"/>
        <v>211776</v>
      </c>
      <c r="J22" s="224"/>
      <c r="K22" s="111"/>
      <c r="L22" s="111"/>
      <c r="M22" s="111"/>
      <c r="N22" s="234"/>
      <c r="O22" s="111"/>
      <c r="P22" s="111"/>
      <c r="Q22" s="111"/>
      <c r="R22" s="111"/>
      <c r="S22" s="111"/>
      <c r="T22" s="111"/>
      <c r="U22" s="111"/>
      <c r="V22" s="111"/>
    </row>
    <row r="23">
      <c r="A23" s="144" t="s">
        <v>81</v>
      </c>
      <c r="B23" s="19">
        <v>6.0</v>
      </c>
      <c r="C23" s="116" t="s">
        <v>125</v>
      </c>
      <c r="D23" s="125">
        <f>sumifs('삼성메가 9월 급여'!$G:$G, '삼성메가 9월 급여'!$C:$C, C23, '삼성메가 9월 급여'!$A:$A, A23) + sumifs('삼성메가 9월 급여'!$L:$L,'삼성메가 9월 급여'!$H:$H,C23, '삼성메가 9월 급여'!$A:$A, A23) + sumifs('삼성메가 9월 급여'!$Q:$Q,'삼성메가 9월 급여'!$M:$M,C23, '삼성메가 9월 급여'!$A:$A, A23) + sumifs('삼성메가 9월 급여'!$V:$V,'삼성메가 9월 급여'!$R:$R,C23, '삼성메가 9월 급여'!$A:$A, A23) + sumifs('삼성메가 9월 급여'!$AA:$AA,'삼성메가 9월 급여'!$W:$W,C23, '삼성메가 9월 급여'!$A:$A, A23) + sumifs('삼성메가 9월 급여'!$AF:$AF,'삼성메가 9월 급여'!$AB:$AB,C23, '삼성메가 9월 급여'!$A:$A, A23) + sumifs('삼성메가 9월 급여'!$AK:$AK,'삼성메가 9월 급여'!$AG:$AG,C23, '삼성메가 9월 급여'!$A:$A, A23)</f>
        <v>25</v>
      </c>
      <c r="E23" s="125" t="str">
        <f t="shared" si="13"/>
        <v>O</v>
      </c>
      <c r="F23" s="222">
        <v>11030.0</v>
      </c>
      <c r="G23" s="122">
        <f t="shared" si="11"/>
        <v>275750</v>
      </c>
      <c r="H23" s="122">
        <f>if(E23="O", 16.5/40*8*F23, 0)</f>
        <v>36399</v>
      </c>
      <c r="I23" s="122">
        <f t="shared" si="4"/>
        <v>312149</v>
      </c>
      <c r="J23" s="224"/>
      <c r="K23" s="111"/>
      <c r="L23" s="111"/>
      <c r="M23" s="111"/>
      <c r="N23" s="234"/>
      <c r="O23" s="111"/>
      <c r="P23" s="111"/>
      <c r="Q23" s="111"/>
      <c r="R23" s="111"/>
      <c r="S23" s="111"/>
      <c r="T23" s="111"/>
      <c r="U23" s="111"/>
      <c r="V23" s="111"/>
    </row>
    <row r="24">
      <c r="A24" s="144" t="s">
        <v>81</v>
      </c>
      <c r="B24" s="19">
        <v>7.0</v>
      </c>
      <c r="C24" s="30" t="s">
        <v>129</v>
      </c>
      <c r="D24" s="125">
        <f>sumifs('삼성메가 9월 급여'!$G:$G, '삼성메가 9월 급여'!$C:$C, C24, '삼성메가 9월 급여'!$A:$A, A24) + sumifs('삼성메가 9월 급여'!$L:$L,'삼성메가 9월 급여'!$H:$H,C24, '삼성메가 9월 급여'!$A:$A, A24) + sumifs('삼성메가 9월 급여'!$Q:$Q,'삼성메가 9월 급여'!$M:$M,C24, '삼성메가 9월 급여'!$A:$A, A24) + sumifs('삼성메가 9월 급여'!$V:$V,'삼성메가 9월 급여'!$R:$R,C24, '삼성메가 9월 급여'!$A:$A, A24) + sumifs('삼성메가 9월 급여'!$AA:$AA,'삼성메가 9월 급여'!$W:$W,C24, '삼성메가 9월 급여'!$A:$A, A24) + sumifs('삼성메가 9월 급여'!$AF:$AF,'삼성메가 9월 급여'!$AB:$AB,C24, '삼성메가 9월 급여'!$A:$A, A24) + sumifs('삼성메가 9월 급여'!$AK:$AK,'삼성메가 9월 급여'!$AG:$AG,C24, '삼성메가 9월 급여'!$A:$A, A24)</f>
        <v>13.5</v>
      </c>
      <c r="E24" s="125" t="str">
        <f t="shared" si="13"/>
        <v>X</v>
      </c>
      <c r="F24" s="222">
        <v>11030.0</v>
      </c>
      <c r="G24" s="122">
        <f t="shared" si="11"/>
        <v>148905</v>
      </c>
      <c r="H24" s="122">
        <f t="shared" ref="H24:H35" si="15">if(E24="O", D24/40*8*F24, 0)</f>
        <v>0</v>
      </c>
      <c r="I24" s="122">
        <f t="shared" si="4"/>
        <v>148905</v>
      </c>
      <c r="J24" s="224"/>
      <c r="K24" s="111"/>
      <c r="L24" s="111"/>
      <c r="M24" s="111"/>
      <c r="N24" s="234"/>
      <c r="O24" s="111"/>
      <c r="P24" s="111"/>
      <c r="Q24" s="111"/>
      <c r="R24" s="111"/>
      <c r="S24" s="111"/>
      <c r="T24" s="111"/>
      <c r="U24" s="111"/>
      <c r="V24" s="111"/>
    </row>
    <row r="25">
      <c r="A25" s="144" t="s">
        <v>81</v>
      </c>
      <c r="B25" s="19">
        <v>8.0</v>
      </c>
      <c r="C25" s="30" t="s">
        <v>133</v>
      </c>
      <c r="D25" s="125">
        <f>sumifs('삼성메가 9월 급여'!$G:$G, '삼성메가 9월 급여'!$C:$C, C25, '삼성메가 9월 급여'!$A:$A, A25) + sumifs('삼성메가 9월 급여'!$L:$L,'삼성메가 9월 급여'!$H:$H,C25, '삼성메가 9월 급여'!$A:$A, A25) + sumifs('삼성메가 9월 급여'!$Q:$Q,'삼성메가 9월 급여'!$M:$M,C25, '삼성메가 9월 급여'!$A:$A, A25) + sumifs('삼성메가 9월 급여'!$V:$V,'삼성메가 9월 급여'!$R:$R,C25, '삼성메가 9월 급여'!$A:$A, A25) + sumifs('삼성메가 9월 급여'!$AA:$AA,'삼성메가 9월 급여'!$W:$W,C25, '삼성메가 9월 급여'!$A:$A, A25) + sumifs('삼성메가 9월 급여'!$AF:$AF,'삼성메가 9월 급여'!$AB:$AB,C25, '삼성메가 9월 급여'!$A:$A, A25) + sumifs('삼성메가 9월 급여'!$AK:$AK,'삼성메가 9월 급여'!$AG:$AG,C25, '삼성메가 9월 급여'!$A:$A, A25)</f>
        <v>9</v>
      </c>
      <c r="E25" s="125" t="str">
        <f t="shared" si="13"/>
        <v>X</v>
      </c>
      <c r="F25" s="222">
        <v>11030.0</v>
      </c>
      <c r="G25" s="122">
        <f t="shared" si="11"/>
        <v>99270</v>
      </c>
      <c r="H25" s="122">
        <f t="shared" si="15"/>
        <v>0</v>
      </c>
      <c r="I25" s="122">
        <f t="shared" si="4"/>
        <v>99270</v>
      </c>
      <c r="J25" s="224"/>
      <c r="K25" s="111"/>
      <c r="L25" s="111"/>
      <c r="M25" s="111"/>
      <c r="N25" s="234"/>
      <c r="O25" s="111"/>
      <c r="P25" s="111"/>
      <c r="Q25" s="111"/>
      <c r="R25" s="111"/>
      <c r="S25" s="111"/>
      <c r="T25" s="111"/>
      <c r="U25" s="111"/>
      <c r="V25" s="111"/>
    </row>
    <row r="26">
      <c r="A26" s="144" t="s">
        <v>81</v>
      </c>
      <c r="B26" s="19">
        <v>9.0</v>
      </c>
      <c r="C26" s="30" t="s">
        <v>80</v>
      </c>
      <c r="D26" s="125">
        <f>sumifs('삼성메가 9월 급여'!$G:$G, '삼성메가 9월 급여'!$C:$C, C26, '삼성메가 9월 급여'!$A:$A, A26) + sumifs('삼성메가 9월 급여'!$L:$L,'삼성메가 9월 급여'!$H:$H,C26, '삼성메가 9월 급여'!$A:$A, A26) + sumifs('삼성메가 9월 급여'!$Q:$Q,'삼성메가 9월 급여'!$M:$M,C26, '삼성메가 9월 급여'!$A:$A, A26) + sumifs('삼성메가 9월 급여'!$V:$V,'삼성메가 9월 급여'!$R:$R,C26, '삼성메가 9월 급여'!$A:$A, A26) + sumifs('삼성메가 9월 급여'!$AA:$AA,'삼성메가 9월 급여'!$W:$W,C26, '삼성메가 9월 급여'!$A:$A, A26) + sumifs('삼성메가 9월 급여'!$AF:$AF,'삼성메가 9월 급여'!$AB:$AB,C26, '삼성메가 9월 급여'!$A:$A, A26) + sumifs('삼성메가 9월 급여'!$AK:$AK,'삼성메가 9월 급여'!$AG:$AG,C26, '삼성메가 9월 급여'!$A:$A, A26)</f>
        <v>8</v>
      </c>
      <c r="E26" s="125" t="str">
        <f t="shared" si="13"/>
        <v>X</v>
      </c>
      <c r="F26" s="222">
        <v>10030.0</v>
      </c>
      <c r="G26" s="122">
        <f t="shared" si="11"/>
        <v>80240</v>
      </c>
      <c r="H26" s="122">
        <f t="shared" si="15"/>
        <v>0</v>
      </c>
      <c r="I26" s="122">
        <f t="shared" si="4"/>
        <v>80240</v>
      </c>
      <c r="J26" s="235"/>
      <c r="K26" s="111"/>
      <c r="L26" s="111"/>
      <c r="M26" s="111"/>
      <c r="N26" s="234"/>
      <c r="O26" s="111"/>
      <c r="P26" s="111"/>
      <c r="Q26" s="111"/>
      <c r="R26" s="111"/>
      <c r="S26" s="111"/>
      <c r="T26" s="111"/>
      <c r="U26" s="111"/>
      <c r="V26" s="111"/>
    </row>
    <row r="27">
      <c r="A27" s="144" t="s">
        <v>81</v>
      </c>
      <c r="B27" s="19">
        <v>10.0</v>
      </c>
      <c r="C27" s="116" t="s">
        <v>50</v>
      </c>
      <c r="D27" s="125">
        <f>sumifs('삼성메가 9월 급여'!$G:$G, '삼성메가 9월 급여'!$C:$C, C27, '삼성메가 9월 급여'!$A:$A, A27) + sumifs('삼성메가 9월 급여'!$L:$L,'삼성메가 9월 급여'!$H:$H,C27, '삼성메가 9월 급여'!$A:$A, A27) + sumifs('삼성메가 9월 급여'!$Q:$Q,'삼성메가 9월 급여'!$M:$M,C27, '삼성메가 9월 급여'!$A:$A, A27) + sumifs('삼성메가 9월 급여'!$V:$V,'삼성메가 9월 급여'!$R:$R,C27, '삼성메가 9월 급여'!$A:$A, A27) + sumifs('삼성메가 9월 급여'!$AA:$AA,'삼성메가 9월 급여'!$W:$W,C27, '삼성메가 9월 급여'!$A:$A, A27) + sumifs('삼성메가 9월 급여'!$AF:$AF,'삼성메가 9월 급여'!$AB:$AB,C27, '삼성메가 9월 급여'!$A:$A, A27) + sumifs('삼성메가 9월 급여'!$AK:$AK,'삼성메가 9월 급여'!$AG:$AG,C27, '삼성메가 9월 급여'!$A:$A, A27)</f>
        <v>9</v>
      </c>
      <c r="E27" s="125" t="str">
        <f t="shared" si="13"/>
        <v>X</v>
      </c>
      <c r="F27" s="222">
        <v>10030.0</v>
      </c>
      <c r="G27" s="122">
        <f t="shared" si="11"/>
        <v>90270</v>
      </c>
      <c r="H27" s="122">
        <f t="shared" si="15"/>
        <v>0</v>
      </c>
      <c r="I27" s="122">
        <f t="shared" si="4"/>
        <v>90270</v>
      </c>
      <c r="J27" s="224"/>
      <c r="K27" s="111"/>
      <c r="L27" s="111"/>
      <c r="M27" s="111"/>
      <c r="N27" s="234"/>
      <c r="O27" s="111"/>
      <c r="P27" s="111"/>
      <c r="Q27" s="111"/>
      <c r="R27" s="111"/>
      <c r="S27" s="111"/>
      <c r="T27" s="111"/>
      <c r="U27" s="111"/>
      <c r="V27" s="111"/>
    </row>
    <row r="28">
      <c r="A28" s="144" t="s">
        <v>81</v>
      </c>
      <c r="B28" s="19">
        <v>11.0</v>
      </c>
      <c r="C28" s="116"/>
      <c r="D28" s="125">
        <f>sumifs('삼성메가 9월 급여'!$G:$G, '삼성메가 9월 급여'!$C:$C, C28, '삼성메가 9월 급여'!$A:$A, A28) + sumifs('삼성메가 9월 급여'!$L:$L,'삼성메가 9월 급여'!$H:$H,C28, '삼성메가 9월 급여'!$A:$A, A28) + sumifs('삼성메가 9월 급여'!$Q:$Q,'삼성메가 9월 급여'!$M:$M,C28, '삼성메가 9월 급여'!$A:$A, A28) + sumifs('삼성메가 9월 급여'!$V:$V,'삼성메가 9월 급여'!$R:$R,C28, '삼성메가 9월 급여'!$A:$A, A28) + sumifs('삼성메가 9월 급여'!$AA:$AA,'삼성메가 9월 급여'!$W:$W,C28, '삼성메가 9월 급여'!$A:$A, A28) + sumifs('삼성메가 9월 급여'!$AF:$AF,'삼성메가 9월 급여'!$AB:$AB,C28, '삼성메가 9월 급여'!$A:$A, A28) + sumifs('삼성메가 9월 급여'!$AK:$AK,'삼성메가 9월 급여'!$AG:$AG,C28, '삼성메가 9월 급여'!$A:$A, A28)</f>
        <v>0</v>
      </c>
      <c r="E28" s="125" t="str">
        <f t="shared" si="13"/>
        <v>X</v>
      </c>
      <c r="F28" s="222">
        <v>10030.0</v>
      </c>
      <c r="G28" s="122">
        <f t="shared" si="11"/>
        <v>0</v>
      </c>
      <c r="H28" s="122">
        <f t="shared" si="15"/>
        <v>0</v>
      </c>
      <c r="I28" s="122">
        <f t="shared" si="4"/>
        <v>0</v>
      </c>
      <c r="J28" s="224"/>
      <c r="K28" s="111"/>
      <c r="L28" s="111"/>
      <c r="M28" s="111"/>
      <c r="N28" s="234"/>
      <c r="O28" s="111"/>
      <c r="P28" s="111"/>
      <c r="Q28" s="111"/>
      <c r="R28" s="111"/>
      <c r="S28" s="111"/>
      <c r="T28" s="111"/>
      <c r="U28" s="111"/>
      <c r="V28" s="111"/>
    </row>
    <row r="29">
      <c r="A29" s="144" t="s">
        <v>81</v>
      </c>
      <c r="B29" s="19">
        <v>12.0</v>
      </c>
      <c r="C29" s="116"/>
      <c r="D29" s="125">
        <f>sumifs('삼성메가 9월 급여'!$G:$G, '삼성메가 9월 급여'!$C:$C, C29, '삼성메가 9월 급여'!$A:$A, A29) + sumifs('삼성메가 9월 급여'!$L:$L,'삼성메가 9월 급여'!$H:$H,C29, '삼성메가 9월 급여'!$A:$A, A29) + sumifs('삼성메가 9월 급여'!$Q:$Q,'삼성메가 9월 급여'!$M:$M,C29, '삼성메가 9월 급여'!$A:$A, A29) + sumifs('삼성메가 9월 급여'!$V:$V,'삼성메가 9월 급여'!$R:$R,C29, '삼성메가 9월 급여'!$A:$A, A29) + sumifs('삼성메가 9월 급여'!$AA:$AA,'삼성메가 9월 급여'!$W:$W,C29, '삼성메가 9월 급여'!$A:$A, A29) + sumifs('삼성메가 9월 급여'!$AF:$AF,'삼성메가 9월 급여'!$AB:$AB,C29, '삼성메가 9월 급여'!$A:$A, A29) + sumifs('삼성메가 9월 급여'!$AK:$AK,'삼성메가 9월 급여'!$AG:$AG,C29, '삼성메가 9월 급여'!$A:$A, A29)</f>
        <v>0</v>
      </c>
      <c r="E29" s="125" t="str">
        <f t="shared" si="13"/>
        <v>X</v>
      </c>
      <c r="F29" s="222">
        <v>10030.0</v>
      </c>
      <c r="G29" s="122">
        <f t="shared" si="11"/>
        <v>0</v>
      </c>
      <c r="H29" s="122">
        <f t="shared" si="15"/>
        <v>0</v>
      </c>
      <c r="I29" s="122">
        <f t="shared" si="4"/>
        <v>0</v>
      </c>
      <c r="J29" s="224" t="s">
        <v>144</v>
      </c>
      <c r="K29" s="111"/>
      <c r="L29" s="111"/>
      <c r="M29" s="111"/>
      <c r="N29" s="234"/>
      <c r="O29" s="111"/>
      <c r="P29" s="111"/>
      <c r="Q29" s="111"/>
      <c r="R29" s="111"/>
      <c r="S29" s="111"/>
      <c r="T29" s="111"/>
      <c r="U29" s="111"/>
      <c r="V29" s="111"/>
    </row>
    <row r="30">
      <c r="A30" s="144" t="s">
        <v>81</v>
      </c>
      <c r="B30" s="19">
        <v>13.0</v>
      </c>
      <c r="C30" s="116"/>
      <c r="D30" s="125">
        <f>sumifs('삼성메가 9월 급여'!$G:$G, '삼성메가 9월 급여'!$C:$C, C30, '삼성메가 9월 급여'!$A:$A, A30) + sumifs('삼성메가 9월 급여'!$L:$L,'삼성메가 9월 급여'!$H:$H,C30, '삼성메가 9월 급여'!$A:$A, A30) + sumifs('삼성메가 9월 급여'!$Q:$Q,'삼성메가 9월 급여'!$M:$M,C30, '삼성메가 9월 급여'!$A:$A, A30) + sumifs('삼성메가 9월 급여'!$V:$V,'삼성메가 9월 급여'!$R:$R,C30, '삼성메가 9월 급여'!$A:$A, A30) + sumifs('삼성메가 9월 급여'!$AA:$AA,'삼성메가 9월 급여'!$W:$W,C30, '삼성메가 9월 급여'!$A:$A, A30) + sumifs('삼성메가 9월 급여'!$AF:$AF,'삼성메가 9월 급여'!$AB:$AB,C30, '삼성메가 9월 급여'!$A:$A, A30) + sumifs('삼성메가 9월 급여'!$AK:$AK,'삼성메가 9월 급여'!$AG:$AG,C30, '삼성메가 9월 급여'!$A:$A, A30)</f>
        <v>0</v>
      </c>
      <c r="E30" s="125" t="str">
        <f t="shared" si="13"/>
        <v>X</v>
      </c>
      <c r="F30" s="222">
        <v>10030.0</v>
      </c>
      <c r="G30" s="122">
        <f t="shared" si="11"/>
        <v>0</v>
      </c>
      <c r="H30" s="122">
        <f t="shared" si="15"/>
        <v>0</v>
      </c>
      <c r="I30" s="122">
        <f t="shared" si="4"/>
        <v>0</v>
      </c>
      <c r="J30" s="224"/>
      <c r="K30" s="111"/>
      <c r="L30" s="111"/>
      <c r="M30" s="111"/>
      <c r="N30" s="234"/>
      <c r="O30" s="111"/>
      <c r="P30" s="111"/>
      <c r="Q30" s="111"/>
      <c r="R30" s="111"/>
      <c r="S30" s="111"/>
      <c r="T30" s="111"/>
      <c r="U30" s="111"/>
      <c r="V30" s="111"/>
    </row>
    <row r="31">
      <c r="A31" s="144" t="s">
        <v>81</v>
      </c>
      <c r="B31" s="19">
        <v>14.0</v>
      </c>
      <c r="C31" s="126"/>
      <c r="D31" s="125">
        <f>sumifs('삼성메가 9월 급여'!$G:$G, '삼성메가 9월 급여'!$C:$C, C31, '삼성메가 9월 급여'!$A:$A, A31) + sumifs('삼성메가 9월 급여'!$L:$L,'삼성메가 9월 급여'!$H:$H,C31, '삼성메가 9월 급여'!$A:$A, A31) + sumifs('삼성메가 9월 급여'!$Q:$Q,'삼성메가 9월 급여'!$M:$M,C31, '삼성메가 9월 급여'!$A:$A, A31) + sumifs('삼성메가 9월 급여'!$V:$V,'삼성메가 9월 급여'!$R:$R,C31, '삼성메가 9월 급여'!$A:$A, A31) + sumifs('삼성메가 9월 급여'!$AA:$AA,'삼성메가 9월 급여'!$W:$W,C31, '삼성메가 9월 급여'!$A:$A, A31) + sumifs('삼성메가 9월 급여'!$AF:$AF,'삼성메가 9월 급여'!$AB:$AB,C31, '삼성메가 9월 급여'!$A:$A, A31) + sumifs('삼성메가 9월 급여'!$AK:$AK,'삼성메가 9월 급여'!$AG:$AG,C31, '삼성메가 9월 급여'!$A:$A, A31)</f>
        <v>0</v>
      </c>
      <c r="E31" s="125" t="str">
        <f t="shared" si="13"/>
        <v>X</v>
      </c>
      <c r="F31" s="222">
        <v>10030.0</v>
      </c>
      <c r="G31" s="122">
        <f t="shared" si="11"/>
        <v>0</v>
      </c>
      <c r="H31" s="122">
        <f t="shared" si="15"/>
        <v>0</v>
      </c>
      <c r="I31" s="122">
        <f t="shared" si="4"/>
        <v>0</v>
      </c>
      <c r="J31" s="224"/>
      <c r="K31" s="111"/>
      <c r="L31" s="111"/>
      <c r="M31" s="111"/>
      <c r="N31" s="234"/>
      <c r="O31" s="111"/>
      <c r="P31" s="111"/>
      <c r="Q31" s="111"/>
      <c r="R31" s="111"/>
      <c r="S31" s="111"/>
      <c r="T31" s="111"/>
      <c r="U31" s="111"/>
      <c r="V31" s="111"/>
    </row>
    <row r="32">
      <c r="A32" s="144" t="s">
        <v>81</v>
      </c>
      <c r="B32" s="19">
        <v>15.0</v>
      </c>
      <c r="C32" s="126"/>
      <c r="D32" s="125">
        <f>sumifs('삼성메가 9월 급여'!$G:$G, '삼성메가 9월 급여'!$C:$C, C32, '삼성메가 9월 급여'!$A:$A, A32) + sumifs('삼성메가 9월 급여'!$L:$L,'삼성메가 9월 급여'!$H:$H,C32, '삼성메가 9월 급여'!$A:$A, A32) + sumifs('삼성메가 9월 급여'!$Q:$Q,'삼성메가 9월 급여'!$M:$M,C32, '삼성메가 9월 급여'!$A:$A, A32) + sumifs('삼성메가 9월 급여'!$V:$V,'삼성메가 9월 급여'!$R:$R,C32, '삼성메가 9월 급여'!$A:$A, A32) + sumifs('삼성메가 9월 급여'!$AA:$AA,'삼성메가 9월 급여'!$W:$W,C32, '삼성메가 9월 급여'!$A:$A, A32) + sumifs('삼성메가 9월 급여'!$AF:$AF,'삼성메가 9월 급여'!$AB:$AB,C32, '삼성메가 9월 급여'!$A:$A, A32) + sumifs('삼성메가 9월 급여'!$AK:$AK,'삼성메가 9월 급여'!$AG:$AG,C32, '삼성메가 9월 급여'!$A:$A, A32)</f>
        <v>0</v>
      </c>
      <c r="E32" s="125" t="str">
        <f t="shared" si="13"/>
        <v>X</v>
      </c>
      <c r="F32" s="222">
        <v>10030.0</v>
      </c>
      <c r="G32" s="122">
        <f t="shared" si="11"/>
        <v>0</v>
      </c>
      <c r="H32" s="122">
        <f t="shared" si="15"/>
        <v>0</v>
      </c>
      <c r="I32" s="122">
        <f t="shared" si="4"/>
        <v>0</v>
      </c>
      <c r="J32" s="224"/>
      <c r="K32" s="111"/>
      <c r="L32" s="111"/>
      <c r="M32" s="111"/>
      <c r="N32" s="234"/>
      <c r="O32" s="111"/>
      <c r="P32" s="111"/>
      <c r="Q32" s="111"/>
      <c r="R32" s="111"/>
      <c r="S32" s="111"/>
      <c r="T32" s="111"/>
      <c r="U32" s="111"/>
      <c r="V32" s="111"/>
    </row>
    <row r="33">
      <c r="A33" s="144" t="s">
        <v>81</v>
      </c>
      <c r="B33" s="19">
        <v>16.0</v>
      </c>
      <c r="C33" s="30"/>
      <c r="D33" s="125">
        <f>sumifs('삼성메가 9월 급여'!$G:$G, '삼성메가 9월 급여'!$C:$C, C33, '삼성메가 9월 급여'!$A:$A, A33) + sumifs('삼성메가 9월 급여'!$L:$L,'삼성메가 9월 급여'!$H:$H,C33, '삼성메가 9월 급여'!$A:$A, A33) + sumifs('삼성메가 9월 급여'!$Q:$Q,'삼성메가 9월 급여'!$M:$M,C33, '삼성메가 9월 급여'!$A:$A, A33) + sumifs('삼성메가 9월 급여'!$V:$V,'삼성메가 9월 급여'!$R:$R,C33, '삼성메가 9월 급여'!$A:$A, A33) + sumifs('삼성메가 9월 급여'!$AA:$AA,'삼성메가 9월 급여'!$W:$W,C33, '삼성메가 9월 급여'!$A:$A, A33) + sumifs('삼성메가 9월 급여'!$AF:$AF,'삼성메가 9월 급여'!$AB:$AB,C33, '삼성메가 9월 급여'!$A:$A, A33) + sumifs('삼성메가 9월 급여'!$AK:$AK,'삼성메가 9월 급여'!$AG:$AG,C33, '삼성메가 9월 급여'!$A:$A, A33)</f>
        <v>0</v>
      </c>
      <c r="E33" s="125" t="str">
        <f t="shared" si="13"/>
        <v>X</v>
      </c>
      <c r="F33" s="222">
        <v>10030.0</v>
      </c>
      <c r="G33" s="122">
        <f t="shared" si="11"/>
        <v>0</v>
      </c>
      <c r="H33" s="122">
        <f t="shared" si="15"/>
        <v>0</v>
      </c>
      <c r="I33" s="122">
        <f t="shared" si="4"/>
        <v>0</v>
      </c>
      <c r="J33" s="224"/>
      <c r="K33" s="111"/>
      <c r="L33" s="111"/>
      <c r="M33" s="111"/>
      <c r="N33" s="234"/>
      <c r="O33" s="111"/>
      <c r="P33" s="111"/>
      <c r="Q33" s="111"/>
      <c r="R33" s="111"/>
      <c r="S33" s="111"/>
      <c r="T33" s="111"/>
      <c r="U33" s="111"/>
      <c r="V33" s="111"/>
    </row>
    <row r="34">
      <c r="A34" s="141" t="s">
        <v>82</v>
      </c>
      <c r="B34" s="19">
        <v>1.0</v>
      </c>
      <c r="C34" s="30" t="s">
        <v>16</v>
      </c>
      <c r="D34" s="125">
        <f>sumifs('삼성메가 9월 급여'!$G:$G, '삼성메가 9월 급여'!$C:$C, C34, '삼성메가 9월 급여'!$A:$A, A34) + sumifs('삼성메가 9월 급여'!$L:$L,'삼성메가 9월 급여'!$H:$H,C34, '삼성메가 9월 급여'!$A:$A, A34) + sumifs('삼성메가 9월 급여'!$Q:$Q,'삼성메가 9월 급여'!$M:$M,C34, '삼성메가 9월 급여'!$A:$A, A34) + sumifs('삼성메가 9월 급여'!$V:$V,'삼성메가 9월 급여'!$R:$R,C34, '삼성메가 9월 급여'!$A:$A, A34) + sumifs('삼성메가 9월 급여'!$AA:$AA,'삼성메가 9월 급여'!$W:$W,C34, '삼성메가 9월 급여'!$A:$A, A34) + sumifs('삼성메가 9월 급여'!$AF:$AF,'삼성메가 9월 급여'!$AB:$AB,C34, '삼성메가 9월 급여'!$A:$A, A34) + sumifs('삼성메가 9월 급여'!$AK:$AK,'삼성메가 9월 급여'!$AG:$AG,C34, '삼성메가 9월 급여'!$A:$A, A34)</f>
        <v>43</v>
      </c>
      <c r="E34" s="125" t="str">
        <f t="shared" si="13"/>
        <v>O</v>
      </c>
      <c r="F34" s="222">
        <v>10030.0</v>
      </c>
      <c r="G34" s="122">
        <f t="shared" si="11"/>
        <v>431290</v>
      </c>
      <c r="H34" s="122">
        <f t="shared" si="15"/>
        <v>86258</v>
      </c>
      <c r="I34" s="122">
        <f t="shared" si="4"/>
        <v>517548</v>
      </c>
      <c r="J34" s="224"/>
      <c r="K34" s="111"/>
      <c r="L34" s="111"/>
      <c r="M34" s="111"/>
      <c r="N34" s="234"/>
      <c r="O34" s="111"/>
      <c r="P34" s="111"/>
      <c r="Q34" s="111"/>
      <c r="R34" s="111"/>
      <c r="S34" s="111"/>
      <c r="T34" s="111"/>
      <c r="U34" s="111"/>
      <c r="V34" s="111"/>
    </row>
    <row r="35">
      <c r="A35" s="141" t="s">
        <v>82</v>
      </c>
      <c r="B35" s="19">
        <v>2.0</v>
      </c>
      <c r="C35" s="30" t="s">
        <v>110</v>
      </c>
      <c r="D35" s="125">
        <f>sumifs('삼성메가 9월 급여'!$G:$G, '삼성메가 9월 급여'!$C:$C, C35, '삼성메가 9월 급여'!$A:$A, A35) + sumifs('삼성메가 9월 급여'!$L:$L,'삼성메가 9월 급여'!$H:$H,C35, '삼성메가 9월 급여'!$A:$A, A35) + sumifs('삼성메가 9월 급여'!$Q:$Q,'삼성메가 9월 급여'!$M:$M,C35, '삼성메가 9월 급여'!$A:$A, A35) + sumifs('삼성메가 9월 급여'!$V:$V,'삼성메가 9월 급여'!$R:$R,C35, '삼성메가 9월 급여'!$A:$A, A35) + sumifs('삼성메가 9월 급여'!$AA:$AA,'삼성메가 9월 급여'!$W:$W,C35, '삼성메가 9월 급여'!$A:$A, A35) + sumifs('삼성메가 9월 급여'!$AF:$AF,'삼성메가 9월 급여'!$AB:$AB,C35, '삼성메가 9월 급여'!$A:$A, A35) + sumifs('삼성메가 9월 급여'!$AK:$AK,'삼성메가 9월 급여'!$AG:$AG,C35, '삼성메가 9월 급여'!$A:$A, A35)</f>
        <v>13.5</v>
      </c>
      <c r="E35" s="125" t="str">
        <f t="shared" si="13"/>
        <v>X</v>
      </c>
      <c r="F35" s="222">
        <v>11030.0</v>
      </c>
      <c r="G35" s="122">
        <f t="shared" si="11"/>
        <v>148905</v>
      </c>
      <c r="H35" s="122">
        <f t="shared" si="15"/>
        <v>0</v>
      </c>
      <c r="I35" s="122">
        <f t="shared" si="4"/>
        <v>148905</v>
      </c>
      <c r="J35" s="224"/>
      <c r="K35" s="111"/>
      <c r="L35" s="111"/>
      <c r="M35" s="111"/>
      <c r="N35" s="234"/>
      <c r="O35" s="111"/>
      <c r="P35" s="111"/>
      <c r="Q35" s="111"/>
      <c r="R35" s="111"/>
      <c r="S35" s="111"/>
      <c r="T35" s="111"/>
      <c r="U35" s="111"/>
      <c r="V35" s="111"/>
    </row>
    <row r="36">
      <c r="A36" s="141" t="s">
        <v>82</v>
      </c>
      <c r="B36" s="19">
        <v>3.0</v>
      </c>
      <c r="C36" s="30" t="s">
        <v>113</v>
      </c>
      <c r="D36" s="125">
        <f>sumifs('삼성메가 9월 급여'!$G:$G, '삼성메가 9월 급여'!$C:$C, C36, '삼성메가 9월 급여'!$A:$A, A36) + sumifs('삼성메가 9월 급여'!$L:$L,'삼성메가 9월 급여'!$H:$H,C36, '삼성메가 9월 급여'!$A:$A, A36) + sumifs('삼성메가 9월 급여'!$Q:$Q,'삼성메가 9월 급여'!$M:$M,C36, '삼성메가 9월 급여'!$A:$A, A36) + sumifs('삼성메가 9월 급여'!$V:$V,'삼성메가 9월 급여'!$R:$R,C36, '삼성메가 9월 급여'!$A:$A, A36) + sumifs('삼성메가 9월 급여'!$AA:$AA,'삼성메가 9월 급여'!$W:$W,C36, '삼성메가 9월 급여'!$A:$A, A36) + sumifs('삼성메가 9월 급여'!$AF:$AF,'삼성메가 9월 급여'!$AB:$AB,C36, '삼성메가 9월 급여'!$A:$A, A36) + sumifs('삼성메가 9월 급여'!$AK:$AK,'삼성메가 9월 급여'!$AG:$AG,C36, '삼성메가 9월 급여'!$A:$A, A36)</f>
        <v>46</v>
      </c>
      <c r="E36" s="125" t="str">
        <f t="shared" si="13"/>
        <v>O</v>
      </c>
      <c r="F36" s="222">
        <v>11030.0</v>
      </c>
      <c r="G36" s="122">
        <f t="shared" si="11"/>
        <v>507380</v>
      </c>
      <c r="H36" s="122">
        <f>if(E36="O", 40/40*8*F36, 0)</f>
        <v>88240</v>
      </c>
      <c r="I36" s="122">
        <f t="shared" si="4"/>
        <v>595620</v>
      </c>
      <c r="J36" s="224"/>
      <c r="K36" s="111"/>
      <c r="L36" s="111"/>
      <c r="M36" s="111"/>
      <c r="N36" s="234"/>
      <c r="O36" s="111"/>
      <c r="P36" s="111"/>
      <c r="Q36" s="111"/>
      <c r="R36" s="111"/>
      <c r="S36" s="111"/>
      <c r="T36" s="111"/>
      <c r="U36" s="111"/>
      <c r="V36" s="111"/>
    </row>
    <row r="37">
      <c r="A37" s="141" t="s">
        <v>82</v>
      </c>
      <c r="B37" s="19">
        <v>4.0</v>
      </c>
      <c r="C37" s="30" t="s">
        <v>117</v>
      </c>
      <c r="D37" s="125">
        <f>sumifs('삼성메가 9월 급여'!$G:$G, '삼성메가 9월 급여'!$C:$C, C37, '삼성메가 9월 급여'!$A:$A, A37) + sumifs('삼성메가 9월 급여'!$L:$L,'삼성메가 9월 급여'!$H:$H,C37, '삼성메가 9월 급여'!$A:$A, A37) + sumifs('삼성메가 9월 급여'!$Q:$Q,'삼성메가 9월 급여'!$M:$M,C37, '삼성메가 9월 급여'!$A:$A, A37) + sumifs('삼성메가 9월 급여'!$V:$V,'삼성메가 9월 급여'!$R:$R,C37, '삼성메가 9월 급여'!$A:$A, A37) + sumifs('삼성메가 9월 급여'!$AA:$AA,'삼성메가 9월 급여'!$W:$W,C37, '삼성메가 9월 급여'!$A:$A, A37) + sumifs('삼성메가 9월 급여'!$AF:$AF,'삼성메가 9월 급여'!$AB:$AB,C37, '삼성메가 9월 급여'!$A:$A, A37) + sumifs('삼성메가 9월 급여'!$AK:$AK,'삼성메가 9월 급여'!$AG:$AG,C37, '삼성메가 9월 급여'!$A:$A, A37)</f>
        <v>4</v>
      </c>
      <c r="E37" s="125" t="str">
        <f t="shared" si="13"/>
        <v>X</v>
      </c>
      <c r="F37" s="222">
        <v>10030.0</v>
      </c>
      <c r="G37" s="122">
        <f t="shared" si="11"/>
        <v>40120</v>
      </c>
      <c r="H37" s="122">
        <f>if(E37="O", D37/40*8*F37, 0)</f>
        <v>0</v>
      </c>
      <c r="I37" s="122">
        <f t="shared" si="4"/>
        <v>40120</v>
      </c>
      <c r="J37" s="224"/>
      <c r="K37" s="111"/>
      <c r="L37" s="111"/>
      <c r="M37" s="111"/>
      <c r="N37" s="234"/>
      <c r="O37" s="111"/>
      <c r="P37" s="111"/>
      <c r="Q37" s="111"/>
      <c r="R37" s="111"/>
      <c r="S37" s="111"/>
      <c r="T37" s="111"/>
      <c r="U37" s="111"/>
      <c r="V37" s="111"/>
    </row>
    <row r="38">
      <c r="A38" s="141" t="s">
        <v>82</v>
      </c>
      <c r="B38" s="19">
        <v>5.0</v>
      </c>
      <c r="C38" s="163" t="s">
        <v>121</v>
      </c>
      <c r="D38" s="125">
        <f>sumifs('삼성메가 9월 급여'!$G:$G, '삼성메가 9월 급여'!$C:$C, C38, '삼성메가 9월 급여'!$A:$A, A38) + sumifs('삼성메가 9월 급여'!$L:$L,'삼성메가 9월 급여'!$H:$H,C38, '삼성메가 9월 급여'!$A:$A, A38) + sumifs('삼성메가 9월 급여'!$Q:$Q,'삼성메가 9월 급여'!$M:$M,C38, '삼성메가 9월 급여'!$A:$A, A38) + sumifs('삼성메가 9월 급여'!$V:$V,'삼성메가 9월 급여'!$R:$R,C38, '삼성메가 9월 급여'!$A:$A, A38) + sumifs('삼성메가 9월 급여'!$AA:$AA,'삼성메가 9월 급여'!$W:$W,C38, '삼성메가 9월 급여'!$A:$A, A38) + sumifs('삼성메가 9월 급여'!$AF:$AF,'삼성메가 9월 급여'!$AB:$AB,C38, '삼성메가 9월 급여'!$A:$A, A38) + sumifs('삼성메가 9월 급여'!$AK:$AK,'삼성메가 9월 급여'!$AG:$AG,C38, '삼성메가 9월 급여'!$A:$A, A38)</f>
        <v>16</v>
      </c>
      <c r="E38" s="125" t="str">
        <f t="shared" si="13"/>
        <v>O</v>
      </c>
      <c r="F38" s="222">
        <v>11030.0</v>
      </c>
      <c r="G38" s="122">
        <f t="shared" si="11"/>
        <v>176480</v>
      </c>
      <c r="H38" s="228">
        <f>if(E38="O", 16/40*8*F38, 0)</f>
        <v>35296</v>
      </c>
      <c r="I38" s="122">
        <f t="shared" si="4"/>
        <v>211776</v>
      </c>
      <c r="J38" s="224"/>
      <c r="K38" s="111"/>
      <c r="L38" s="111"/>
      <c r="M38" s="111"/>
      <c r="N38" s="234"/>
      <c r="O38" s="111"/>
      <c r="P38" s="111"/>
      <c r="Q38" s="111"/>
      <c r="R38" s="111"/>
      <c r="S38" s="111"/>
      <c r="T38" s="111"/>
      <c r="U38" s="111"/>
      <c r="V38" s="111"/>
    </row>
    <row r="39">
      <c r="A39" s="141" t="s">
        <v>82</v>
      </c>
      <c r="B39" s="19">
        <v>6.0</v>
      </c>
      <c r="C39" s="116" t="s">
        <v>125</v>
      </c>
      <c r="D39" s="125">
        <f>sumifs('삼성메가 9월 급여'!$G:$G, '삼성메가 9월 급여'!$C:$C, C39, '삼성메가 9월 급여'!$A:$A, A39) + sumifs('삼성메가 9월 급여'!$L:$L,'삼성메가 9월 급여'!$H:$H,C39, '삼성메가 9월 급여'!$A:$A, A39) + sumifs('삼성메가 9월 급여'!$Q:$Q,'삼성메가 9월 급여'!$M:$M,C39, '삼성메가 9월 급여'!$A:$A, A39) + sumifs('삼성메가 9월 급여'!$V:$V,'삼성메가 9월 급여'!$R:$R,C39, '삼성메가 9월 급여'!$A:$A, A39) + sumifs('삼성메가 9월 급여'!$AA:$AA,'삼성메가 9월 급여'!$W:$W,C39, '삼성메가 9월 급여'!$A:$A, A39) + sumifs('삼성메가 9월 급여'!$AF:$AF,'삼성메가 9월 급여'!$AB:$AB,C39, '삼성메가 9월 급여'!$A:$A, A39) + sumifs('삼성메가 9월 급여'!$AK:$AK,'삼성메가 9월 급여'!$AG:$AG,C39, '삼성메가 9월 급여'!$A:$A, A39)</f>
        <v>34</v>
      </c>
      <c r="E39" s="125" t="str">
        <f t="shared" si="13"/>
        <v>O</v>
      </c>
      <c r="F39" s="222">
        <v>11030.0</v>
      </c>
      <c r="G39" s="122">
        <f t="shared" si="11"/>
        <v>375020</v>
      </c>
      <c r="H39" s="122">
        <f>if(E39="O", 16.5/40*8*F39, 0)</f>
        <v>36399</v>
      </c>
      <c r="I39" s="122">
        <f t="shared" si="4"/>
        <v>411419</v>
      </c>
      <c r="J39" s="224"/>
      <c r="K39" s="111"/>
      <c r="L39" s="111"/>
      <c r="M39" s="111"/>
      <c r="N39" s="234"/>
      <c r="O39" s="111"/>
      <c r="P39" s="111"/>
      <c r="Q39" s="111"/>
      <c r="R39" s="111"/>
      <c r="S39" s="111"/>
      <c r="T39" s="111"/>
      <c r="U39" s="111"/>
      <c r="V39" s="111"/>
    </row>
    <row r="40">
      <c r="A40" s="141" t="s">
        <v>82</v>
      </c>
      <c r="B40" s="19">
        <v>7.0</v>
      </c>
      <c r="C40" s="30" t="s">
        <v>129</v>
      </c>
      <c r="D40" s="125">
        <f>sumifs('삼성메가 9월 급여'!$G:$G, '삼성메가 9월 급여'!$C:$C, C40, '삼성메가 9월 급여'!$A:$A, A40) + sumifs('삼성메가 9월 급여'!$L:$L,'삼성메가 9월 급여'!$H:$H,C40, '삼성메가 9월 급여'!$A:$A, A40) + sumifs('삼성메가 9월 급여'!$Q:$Q,'삼성메가 9월 급여'!$M:$M,C40, '삼성메가 9월 급여'!$A:$A, A40) + sumifs('삼성메가 9월 급여'!$V:$V,'삼성메가 9월 급여'!$R:$R,C40, '삼성메가 9월 급여'!$A:$A, A40) + sumifs('삼성메가 9월 급여'!$AA:$AA,'삼성메가 9월 급여'!$W:$W,C40, '삼성메가 9월 급여'!$A:$A, A40) + sumifs('삼성메가 9월 급여'!$AF:$AF,'삼성메가 9월 급여'!$AB:$AB,C40, '삼성메가 9월 급여'!$A:$A, A40) + sumifs('삼성메가 9월 급여'!$AK:$AK,'삼성메가 9월 급여'!$AG:$AG,C40, '삼성메가 9월 급여'!$A:$A, A40)</f>
        <v>9</v>
      </c>
      <c r="E40" s="125" t="str">
        <f t="shared" si="13"/>
        <v>X</v>
      </c>
      <c r="F40" s="222">
        <v>11030.0</v>
      </c>
      <c r="G40" s="122">
        <f t="shared" si="11"/>
        <v>99270</v>
      </c>
      <c r="H40" s="122">
        <f t="shared" ref="H40:H51" si="16">if(E40="O", D40/40*8*F40, 0)</f>
        <v>0</v>
      </c>
      <c r="I40" s="122">
        <f t="shared" si="4"/>
        <v>99270</v>
      </c>
      <c r="J40" s="224"/>
      <c r="K40" s="111"/>
      <c r="L40" s="111"/>
      <c r="M40" s="111"/>
      <c r="N40" s="234"/>
      <c r="O40" s="111"/>
      <c r="P40" s="111"/>
      <c r="Q40" s="111"/>
      <c r="R40" s="111"/>
      <c r="S40" s="111"/>
      <c r="T40" s="111"/>
      <c r="U40" s="111"/>
      <c r="V40" s="111"/>
    </row>
    <row r="41">
      <c r="A41" s="141" t="s">
        <v>82</v>
      </c>
      <c r="B41" s="19">
        <v>8.0</v>
      </c>
      <c r="C41" s="30" t="s">
        <v>133</v>
      </c>
      <c r="D41" s="125">
        <f>sumifs('삼성메가 9월 급여'!$G:$G, '삼성메가 9월 급여'!$C:$C, C41, '삼성메가 9월 급여'!$A:$A, A41) + sumifs('삼성메가 9월 급여'!$L:$L,'삼성메가 9월 급여'!$H:$H,C41, '삼성메가 9월 급여'!$A:$A, A41) + sumifs('삼성메가 9월 급여'!$Q:$Q,'삼성메가 9월 급여'!$M:$M,C41, '삼성메가 9월 급여'!$A:$A, A41) + sumifs('삼성메가 9월 급여'!$V:$V,'삼성메가 9월 급여'!$R:$R,C41, '삼성메가 9월 급여'!$A:$A, A41) + sumifs('삼성메가 9월 급여'!$AA:$AA,'삼성메가 9월 급여'!$W:$W,C41, '삼성메가 9월 급여'!$A:$A, A41) + sumifs('삼성메가 9월 급여'!$AF:$AF,'삼성메가 9월 급여'!$AB:$AB,C41, '삼성메가 9월 급여'!$A:$A, A41) + sumifs('삼성메가 9월 급여'!$AK:$AK,'삼성메가 9월 급여'!$AG:$AG,C41, '삼성메가 9월 급여'!$A:$A, A41)</f>
        <v>4.5</v>
      </c>
      <c r="E41" s="125" t="str">
        <f t="shared" si="13"/>
        <v>X</v>
      </c>
      <c r="F41" s="222">
        <v>11030.0</v>
      </c>
      <c r="G41" s="122">
        <f t="shared" si="11"/>
        <v>49635</v>
      </c>
      <c r="H41" s="122">
        <f t="shared" si="16"/>
        <v>0</v>
      </c>
      <c r="I41" s="122">
        <f t="shared" si="4"/>
        <v>49635</v>
      </c>
      <c r="J41" s="224"/>
      <c r="K41" s="111"/>
      <c r="L41" s="111"/>
      <c r="M41" s="111"/>
      <c r="N41" s="234"/>
      <c r="O41" s="111"/>
      <c r="P41" s="111"/>
      <c r="Q41" s="111"/>
      <c r="R41" s="111"/>
      <c r="S41" s="111"/>
      <c r="T41" s="111"/>
      <c r="U41" s="111"/>
      <c r="V41" s="111"/>
    </row>
    <row r="42">
      <c r="A42" s="141" t="s">
        <v>82</v>
      </c>
      <c r="B42" s="19">
        <v>9.0</v>
      </c>
      <c r="C42" s="30" t="s">
        <v>80</v>
      </c>
      <c r="D42" s="125">
        <f>sumifs('삼성메가 9월 급여'!$G:$G, '삼성메가 9월 급여'!$C:$C, C42, '삼성메가 9월 급여'!$A:$A, A42) + sumifs('삼성메가 9월 급여'!$L:$L,'삼성메가 9월 급여'!$H:$H,C42, '삼성메가 9월 급여'!$A:$A, A42) + sumifs('삼성메가 9월 급여'!$Q:$Q,'삼성메가 9월 급여'!$M:$M,C42, '삼성메가 9월 급여'!$A:$A, A42) + sumifs('삼성메가 9월 급여'!$V:$V,'삼성메가 9월 급여'!$R:$R,C42, '삼성메가 9월 급여'!$A:$A, A42) + sumifs('삼성메가 9월 급여'!$AA:$AA,'삼성메가 9월 급여'!$W:$W,C42, '삼성메가 9월 급여'!$A:$A, A42) + sumifs('삼성메가 9월 급여'!$AF:$AF,'삼성메가 9월 급여'!$AB:$AB,C42, '삼성메가 9월 급여'!$A:$A, A42) + sumifs('삼성메가 9월 급여'!$AK:$AK,'삼성메가 9월 급여'!$AG:$AG,C42, '삼성메가 9월 급여'!$A:$A, A42)</f>
        <v>8</v>
      </c>
      <c r="E42" s="125" t="str">
        <f t="shared" si="13"/>
        <v>X</v>
      </c>
      <c r="F42" s="222">
        <v>10030.0</v>
      </c>
      <c r="G42" s="122">
        <f t="shared" si="11"/>
        <v>80240</v>
      </c>
      <c r="H42" s="122">
        <f t="shared" si="16"/>
        <v>0</v>
      </c>
      <c r="I42" s="122">
        <f t="shared" si="4"/>
        <v>80240</v>
      </c>
      <c r="J42" s="224"/>
      <c r="K42" s="111"/>
      <c r="L42" s="111"/>
      <c r="M42" s="111"/>
      <c r="N42" s="234"/>
      <c r="O42" s="111"/>
      <c r="P42" s="111"/>
      <c r="Q42" s="111"/>
      <c r="R42" s="111"/>
      <c r="S42" s="111"/>
      <c r="T42" s="111"/>
      <c r="U42" s="111"/>
      <c r="V42" s="111"/>
    </row>
    <row r="43">
      <c r="A43" s="141" t="s">
        <v>82</v>
      </c>
      <c r="B43" s="19">
        <v>10.0</v>
      </c>
      <c r="C43" s="116" t="s">
        <v>50</v>
      </c>
      <c r="D43" s="125">
        <f>sumifs('삼성메가 9월 급여'!$G:$G, '삼성메가 9월 급여'!$C:$C, C43, '삼성메가 9월 급여'!$A:$A, A43) + sumifs('삼성메가 9월 급여'!$L:$L,'삼성메가 9월 급여'!$H:$H,C43, '삼성메가 9월 급여'!$A:$A, A43) + sumifs('삼성메가 9월 급여'!$Q:$Q,'삼성메가 9월 급여'!$M:$M,C43, '삼성메가 9월 급여'!$A:$A, A43) + sumifs('삼성메가 9월 급여'!$V:$V,'삼성메가 9월 급여'!$R:$R,C43, '삼성메가 9월 급여'!$A:$A, A43) + sumifs('삼성메가 9월 급여'!$AA:$AA,'삼성메가 9월 급여'!$W:$W,C43, '삼성메가 9월 급여'!$A:$A, A43) + sumifs('삼성메가 9월 급여'!$AF:$AF,'삼성메가 9월 급여'!$AB:$AB,C43, '삼성메가 9월 급여'!$A:$A, A43) + sumifs('삼성메가 9월 급여'!$AK:$AK,'삼성메가 9월 급여'!$AG:$AG,C43, '삼성메가 9월 급여'!$A:$A, A43)</f>
        <v>9</v>
      </c>
      <c r="E43" s="125" t="str">
        <f t="shared" si="13"/>
        <v>X</v>
      </c>
      <c r="F43" s="222">
        <v>10030.0</v>
      </c>
      <c r="G43" s="122">
        <f t="shared" si="11"/>
        <v>90270</v>
      </c>
      <c r="H43" s="122">
        <f t="shared" si="16"/>
        <v>0</v>
      </c>
      <c r="I43" s="122">
        <f t="shared" si="4"/>
        <v>90270</v>
      </c>
      <c r="J43" s="224"/>
      <c r="K43" s="111"/>
      <c r="L43" s="111"/>
      <c r="M43" s="111"/>
      <c r="N43" s="234"/>
      <c r="O43" s="111"/>
      <c r="P43" s="111"/>
      <c r="Q43" s="111"/>
      <c r="R43" s="111"/>
      <c r="S43" s="111"/>
      <c r="T43" s="111"/>
      <c r="U43" s="111"/>
      <c r="V43" s="111"/>
    </row>
    <row r="44">
      <c r="A44" s="141" t="s">
        <v>82</v>
      </c>
      <c r="B44" s="19">
        <v>11.0</v>
      </c>
      <c r="C44" s="116"/>
      <c r="D44" s="125">
        <f>sumifs('삼성메가 9월 급여'!$G:$G, '삼성메가 9월 급여'!$C:$C, C44, '삼성메가 9월 급여'!$A:$A, A44) + sumifs('삼성메가 9월 급여'!$L:$L,'삼성메가 9월 급여'!$H:$H,C44, '삼성메가 9월 급여'!$A:$A, A44) + sumifs('삼성메가 9월 급여'!$Q:$Q,'삼성메가 9월 급여'!$M:$M,C44, '삼성메가 9월 급여'!$A:$A, A44) + sumifs('삼성메가 9월 급여'!$V:$V,'삼성메가 9월 급여'!$R:$R,C44, '삼성메가 9월 급여'!$A:$A, A44) + sumifs('삼성메가 9월 급여'!$AA:$AA,'삼성메가 9월 급여'!$W:$W,C44, '삼성메가 9월 급여'!$A:$A, A44) + sumifs('삼성메가 9월 급여'!$AF:$AF,'삼성메가 9월 급여'!$AB:$AB,C44, '삼성메가 9월 급여'!$A:$A, A44) + sumifs('삼성메가 9월 급여'!$AK:$AK,'삼성메가 9월 급여'!$AG:$AG,C44, '삼성메가 9월 급여'!$A:$A, A44)</f>
        <v>0</v>
      </c>
      <c r="E44" s="125" t="str">
        <f t="shared" si="13"/>
        <v>X</v>
      </c>
      <c r="F44" s="222">
        <v>10030.0</v>
      </c>
      <c r="G44" s="122">
        <f t="shared" si="11"/>
        <v>0</v>
      </c>
      <c r="H44" s="122">
        <f t="shared" si="16"/>
        <v>0</v>
      </c>
      <c r="I44" s="122">
        <f t="shared" si="4"/>
        <v>0</v>
      </c>
      <c r="J44" s="224"/>
      <c r="K44" s="111"/>
      <c r="L44" s="111"/>
      <c r="M44" s="111"/>
      <c r="N44" s="234"/>
      <c r="O44" s="111"/>
      <c r="P44" s="111"/>
      <c r="Q44" s="111"/>
      <c r="R44" s="111"/>
      <c r="S44" s="111"/>
      <c r="T44" s="111"/>
      <c r="U44" s="111"/>
      <c r="V44" s="111"/>
    </row>
    <row r="45">
      <c r="A45" s="141" t="s">
        <v>82</v>
      </c>
      <c r="B45" s="19">
        <v>12.0</v>
      </c>
      <c r="C45" s="116"/>
      <c r="D45" s="125">
        <f>sumifs('삼성메가 9월 급여'!$G:$G, '삼성메가 9월 급여'!$C:$C, C45, '삼성메가 9월 급여'!$A:$A, A45) + sumifs('삼성메가 9월 급여'!$L:$L,'삼성메가 9월 급여'!$H:$H,C45, '삼성메가 9월 급여'!$A:$A, A45) + sumifs('삼성메가 9월 급여'!$Q:$Q,'삼성메가 9월 급여'!$M:$M,C45, '삼성메가 9월 급여'!$A:$A, A45) + sumifs('삼성메가 9월 급여'!$V:$V,'삼성메가 9월 급여'!$R:$R,C45, '삼성메가 9월 급여'!$A:$A, A45) + sumifs('삼성메가 9월 급여'!$AA:$AA,'삼성메가 9월 급여'!$W:$W,C45, '삼성메가 9월 급여'!$A:$A, A45) + sumifs('삼성메가 9월 급여'!$AF:$AF,'삼성메가 9월 급여'!$AB:$AB,C45, '삼성메가 9월 급여'!$A:$A, A45) + sumifs('삼성메가 9월 급여'!$AK:$AK,'삼성메가 9월 급여'!$AG:$AG,C45, '삼성메가 9월 급여'!$A:$A, A45)</f>
        <v>0</v>
      </c>
      <c r="E45" s="125" t="str">
        <f t="shared" si="13"/>
        <v>X</v>
      </c>
      <c r="F45" s="222">
        <v>10030.0</v>
      </c>
      <c r="G45" s="122">
        <f t="shared" si="11"/>
        <v>0</v>
      </c>
      <c r="H45" s="122">
        <f t="shared" si="16"/>
        <v>0</v>
      </c>
      <c r="I45" s="122">
        <f t="shared" si="4"/>
        <v>0</v>
      </c>
      <c r="J45" s="224"/>
      <c r="K45" s="111"/>
      <c r="L45" s="111"/>
      <c r="M45" s="111"/>
      <c r="N45" s="234"/>
      <c r="O45" s="111"/>
      <c r="P45" s="111"/>
      <c r="Q45" s="111"/>
      <c r="R45" s="111"/>
      <c r="S45" s="111"/>
      <c r="T45" s="111"/>
      <c r="U45" s="111"/>
      <c r="V45" s="111"/>
    </row>
    <row r="46">
      <c r="A46" s="141" t="s">
        <v>82</v>
      </c>
      <c r="B46" s="19">
        <v>13.0</v>
      </c>
      <c r="C46" s="116"/>
      <c r="D46" s="125">
        <f>sumifs('삼성메가 9월 급여'!$G:$G, '삼성메가 9월 급여'!$C:$C, C46, '삼성메가 9월 급여'!$A:$A, A46) + sumifs('삼성메가 9월 급여'!$L:$L,'삼성메가 9월 급여'!$H:$H,C46, '삼성메가 9월 급여'!$A:$A, A46) + sumifs('삼성메가 9월 급여'!$Q:$Q,'삼성메가 9월 급여'!$M:$M,C46, '삼성메가 9월 급여'!$A:$A, A46) + sumifs('삼성메가 9월 급여'!$V:$V,'삼성메가 9월 급여'!$R:$R,C46, '삼성메가 9월 급여'!$A:$A, A46) + sumifs('삼성메가 9월 급여'!$AA:$AA,'삼성메가 9월 급여'!$W:$W,C46, '삼성메가 9월 급여'!$A:$A, A46) + sumifs('삼성메가 9월 급여'!$AF:$AF,'삼성메가 9월 급여'!$AB:$AB,C46, '삼성메가 9월 급여'!$A:$A, A46) + sumifs('삼성메가 9월 급여'!$AK:$AK,'삼성메가 9월 급여'!$AG:$AG,C46, '삼성메가 9월 급여'!$A:$A, A46)</f>
        <v>0</v>
      </c>
      <c r="E46" s="125" t="str">
        <f t="shared" si="13"/>
        <v>X</v>
      </c>
      <c r="F46" s="222">
        <v>10030.0</v>
      </c>
      <c r="G46" s="122">
        <f t="shared" si="11"/>
        <v>0</v>
      </c>
      <c r="H46" s="122">
        <f t="shared" si="16"/>
        <v>0</v>
      </c>
      <c r="I46" s="122">
        <f t="shared" si="4"/>
        <v>0</v>
      </c>
      <c r="J46" s="224"/>
      <c r="K46" s="111"/>
      <c r="L46" s="111"/>
      <c r="M46" s="111"/>
      <c r="N46" s="234"/>
      <c r="O46" s="111"/>
      <c r="P46" s="111"/>
      <c r="Q46" s="111"/>
      <c r="R46" s="111"/>
      <c r="S46" s="111"/>
      <c r="T46" s="111"/>
      <c r="U46" s="111"/>
      <c r="V46" s="111"/>
    </row>
    <row r="47">
      <c r="A47" s="141" t="s">
        <v>82</v>
      </c>
      <c r="B47" s="19">
        <v>14.0</v>
      </c>
      <c r="C47" s="126"/>
      <c r="D47" s="125">
        <f>sumifs('삼성메가 9월 급여'!$G:$G, '삼성메가 9월 급여'!$C:$C, C47, '삼성메가 9월 급여'!$A:$A, A47) + sumifs('삼성메가 9월 급여'!$L:$L,'삼성메가 9월 급여'!$H:$H,C47, '삼성메가 9월 급여'!$A:$A, A47) + sumifs('삼성메가 9월 급여'!$Q:$Q,'삼성메가 9월 급여'!$M:$M,C47, '삼성메가 9월 급여'!$A:$A, A47) + sumifs('삼성메가 9월 급여'!$V:$V,'삼성메가 9월 급여'!$R:$R,C47, '삼성메가 9월 급여'!$A:$A, A47) + sumifs('삼성메가 9월 급여'!$AA:$AA,'삼성메가 9월 급여'!$W:$W,C47, '삼성메가 9월 급여'!$A:$A, A47) + sumifs('삼성메가 9월 급여'!$AF:$AF,'삼성메가 9월 급여'!$AB:$AB,C47, '삼성메가 9월 급여'!$A:$A, A47) + sumifs('삼성메가 9월 급여'!$AK:$AK,'삼성메가 9월 급여'!$AG:$AG,C47, '삼성메가 9월 급여'!$A:$A, A47)</f>
        <v>0</v>
      </c>
      <c r="E47" s="125" t="str">
        <f t="shared" si="13"/>
        <v>X</v>
      </c>
      <c r="F47" s="222">
        <v>10030.0</v>
      </c>
      <c r="G47" s="122">
        <f t="shared" si="11"/>
        <v>0</v>
      </c>
      <c r="H47" s="122">
        <f t="shared" si="16"/>
        <v>0</v>
      </c>
      <c r="I47" s="122">
        <f t="shared" si="4"/>
        <v>0</v>
      </c>
      <c r="J47" s="224"/>
      <c r="K47" s="111"/>
      <c r="L47" s="111"/>
      <c r="M47" s="111"/>
      <c r="N47" s="234"/>
      <c r="O47" s="111"/>
      <c r="P47" s="111"/>
      <c r="Q47" s="111"/>
      <c r="R47" s="111"/>
      <c r="S47" s="111"/>
      <c r="T47" s="111"/>
      <c r="U47" s="111"/>
      <c r="V47" s="111"/>
    </row>
    <row r="48">
      <c r="A48" s="141" t="s">
        <v>82</v>
      </c>
      <c r="B48" s="19">
        <v>15.0</v>
      </c>
      <c r="C48" s="126"/>
      <c r="D48" s="125">
        <f>sumifs('삼성메가 9월 급여'!$G:$G, '삼성메가 9월 급여'!$C:$C, C48, '삼성메가 9월 급여'!$A:$A, A48) + sumifs('삼성메가 9월 급여'!$L:$L,'삼성메가 9월 급여'!$H:$H,C48, '삼성메가 9월 급여'!$A:$A, A48) + sumifs('삼성메가 9월 급여'!$Q:$Q,'삼성메가 9월 급여'!$M:$M,C48, '삼성메가 9월 급여'!$A:$A, A48) + sumifs('삼성메가 9월 급여'!$V:$V,'삼성메가 9월 급여'!$R:$R,C48, '삼성메가 9월 급여'!$A:$A, A48) + sumifs('삼성메가 9월 급여'!$AA:$AA,'삼성메가 9월 급여'!$W:$W,C48, '삼성메가 9월 급여'!$A:$A, A48) + sumifs('삼성메가 9월 급여'!$AF:$AF,'삼성메가 9월 급여'!$AB:$AB,C48, '삼성메가 9월 급여'!$A:$A, A48) + sumifs('삼성메가 9월 급여'!$AK:$AK,'삼성메가 9월 급여'!$AG:$AG,C48, '삼성메가 9월 급여'!$A:$A, A48)</f>
        <v>0</v>
      </c>
      <c r="E48" s="125" t="str">
        <f t="shared" si="13"/>
        <v>X</v>
      </c>
      <c r="F48" s="222">
        <v>10030.0</v>
      </c>
      <c r="G48" s="122">
        <f t="shared" si="11"/>
        <v>0</v>
      </c>
      <c r="H48" s="122">
        <f t="shared" si="16"/>
        <v>0</v>
      </c>
      <c r="I48" s="122">
        <f t="shared" si="4"/>
        <v>0</v>
      </c>
      <c r="J48" s="224"/>
      <c r="K48" s="111"/>
      <c r="L48" s="111"/>
      <c r="M48" s="111"/>
      <c r="N48" s="234"/>
      <c r="O48" s="111"/>
      <c r="P48" s="111"/>
      <c r="Q48" s="111"/>
      <c r="R48" s="111"/>
      <c r="S48" s="111"/>
      <c r="T48" s="111"/>
      <c r="U48" s="111"/>
      <c r="V48" s="111"/>
    </row>
    <row r="49">
      <c r="A49" s="141" t="s">
        <v>82</v>
      </c>
      <c r="B49" s="19">
        <v>16.0</v>
      </c>
      <c r="C49" s="30"/>
      <c r="D49" s="125">
        <f>sumifs('삼성메가 9월 급여'!$G:$G, '삼성메가 9월 급여'!$C:$C, C49, '삼성메가 9월 급여'!$A:$A, A49) + sumifs('삼성메가 9월 급여'!$L:$L,'삼성메가 9월 급여'!$H:$H,C49, '삼성메가 9월 급여'!$A:$A, A49) + sumifs('삼성메가 9월 급여'!$Q:$Q,'삼성메가 9월 급여'!$M:$M,C49, '삼성메가 9월 급여'!$A:$A, A49) + sumifs('삼성메가 9월 급여'!$V:$V,'삼성메가 9월 급여'!$R:$R,C49, '삼성메가 9월 급여'!$A:$A, A49) + sumifs('삼성메가 9월 급여'!$AA:$AA,'삼성메가 9월 급여'!$W:$W,C49, '삼성메가 9월 급여'!$A:$A, A49) + sumifs('삼성메가 9월 급여'!$AF:$AF,'삼성메가 9월 급여'!$AB:$AB,C49, '삼성메가 9월 급여'!$A:$A, A49) + sumifs('삼성메가 9월 급여'!$AK:$AK,'삼성메가 9월 급여'!$AG:$AG,C49, '삼성메가 9월 급여'!$A:$A, A49)</f>
        <v>0</v>
      </c>
      <c r="E49" s="125" t="str">
        <f t="shared" si="13"/>
        <v>X</v>
      </c>
      <c r="F49" s="222">
        <v>10030.0</v>
      </c>
      <c r="G49" s="122">
        <f t="shared" si="11"/>
        <v>0</v>
      </c>
      <c r="H49" s="122">
        <f t="shared" si="16"/>
        <v>0</v>
      </c>
      <c r="I49" s="122">
        <f t="shared" si="4"/>
        <v>0</v>
      </c>
      <c r="J49" s="224"/>
      <c r="K49" s="111"/>
      <c r="L49" s="111"/>
      <c r="M49" s="111"/>
      <c r="N49" s="234"/>
      <c r="O49" s="111"/>
      <c r="P49" s="111"/>
      <c r="Q49" s="111"/>
      <c r="R49" s="111"/>
      <c r="S49" s="111"/>
      <c r="T49" s="111"/>
      <c r="U49" s="111"/>
      <c r="V49" s="111"/>
    </row>
    <row r="50">
      <c r="A50" s="39" t="s">
        <v>83</v>
      </c>
      <c r="B50" s="19">
        <v>1.0</v>
      </c>
      <c r="C50" s="30" t="s">
        <v>16</v>
      </c>
      <c r="D50" s="125">
        <f>sumifs('삼성메가 9월 급여'!$G:$G, '삼성메가 9월 급여'!$C:$C, C50, '삼성메가 9월 급여'!$A:$A, A50) + sumifs('삼성메가 9월 급여'!$L:$L,'삼성메가 9월 급여'!$H:$H,C50, '삼성메가 9월 급여'!$A:$A, A50) + sumifs('삼성메가 9월 급여'!$Q:$Q,'삼성메가 9월 급여'!$M:$M,C50, '삼성메가 9월 급여'!$A:$A, A50) + sumifs('삼성메가 9월 급여'!$V:$V,'삼성메가 9월 급여'!$R:$R,C50, '삼성메가 9월 급여'!$A:$A, A50) + sumifs('삼성메가 9월 급여'!$AA:$AA,'삼성메가 9월 급여'!$W:$W,C50, '삼성메가 9월 급여'!$A:$A, A50) + sumifs('삼성메가 9월 급여'!$AF:$AF,'삼성메가 9월 급여'!$AB:$AB,C50, '삼성메가 9월 급여'!$A:$A, A50) + sumifs('삼성메가 9월 급여'!$AK:$AK,'삼성메가 9월 급여'!$AG:$AG,C50, '삼성메가 9월 급여'!$A:$A, A50)</f>
        <v>36.5</v>
      </c>
      <c r="E50" s="125" t="str">
        <f t="shared" si="13"/>
        <v>O</v>
      </c>
      <c r="F50" s="222">
        <v>10030.0</v>
      </c>
      <c r="G50" s="122">
        <f t="shared" si="11"/>
        <v>366095</v>
      </c>
      <c r="H50" s="122">
        <f t="shared" si="16"/>
        <v>73219</v>
      </c>
      <c r="I50" s="122">
        <f t="shared" si="4"/>
        <v>439314</v>
      </c>
      <c r="J50" s="224"/>
      <c r="K50" s="111"/>
      <c r="L50" s="111"/>
      <c r="M50" s="111"/>
      <c r="N50" s="234"/>
      <c r="O50" s="111"/>
      <c r="P50" s="111"/>
      <c r="Q50" s="111"/>
      <c r="R50" s="111"/>
      <c r="S50" s="111"/>
      <c r="T50" s="111"/>
      <c r="U50" s="111"/>
      <c r="V50" s="111"/>
    </row>
    <row r="51">
      <c r="A51" s="39" t="s">
        <v>83</v>
      </c>
      <c r="B51" s="19">
        <v>2.0</v>
      </c>
      <c r="C51" s="30" t="s">
        <v>110</v>
      </c>
      <c r="D51" s="125">
        <f>sumifs('삼성메가 9월 급여'!$G:$G, '삼성메가 9월 급여'!$C:$C, C51, '삼성메가 9월 급여'!$A:$A, A51) + sumifs('삼성메가 9월 급여'!$L:$L,'삼성메가 9월 급여'!$H:$H,C51, '삼성메가 9월 급여'!$A:$A, A51) + sumifs('삼성메가 9월 급여'!$Q:$Q,'삼성메가 9월 급여'!$M:$M,C51, '삼성메가 9월 급여'!$A:$A, A51) + sumifs('삼성메가 9월 급여'!$V:$V,'삼성메가 9월 급여'!$R:$R,C51, '삼성메가 9월 급여'!$A:$A, A51) + sumifs('삼성메가 9월 급여'!$AA:$AA,'삼성메가 9월 급여'!$W:$W,C51, '삼성메가 9월 급여'!$A:$A, A51) + sumifs('삼성메가 9월 급여'!$AF:$AF,'삼성메가 9월 급여'!$AB:$AB,C51, '삼성메가 9월 급여'!$A:$A, A51) + sumifs('삼성메가 9월 급여'!$AK:$AK,'삼성메가 9월 급여'!$AG:$AG,C51, '삼성메가 9월 급여'!$A:$A, A51)</f>
        <v>6.5</v>
      </c>
      <c r="E51" s="125" t="str">
        <f t="shared" si="13"/>
        <v>X</v>
      </c>
      <c r="F51" s="222">
        <v>11030.0</v>
      </c>
      <c r="G51" s="122">
        <f t="shared" si="11"/>
        <v>71695</v>
      </c>
      <c r="H51" s="122">
        <f t="shared" si="16"/>
        <v>0</v>
      </c>
      <c r="I51" s="122">
        <f t="shared" si="4"/>
        <v>71695</v>
      </c>
      <c r="J51" s="224"/>
      <c r="K51" s="111"/>
      <c r="L51" s="111"/>
      <c r="M51" s="111"/>
      <c r="N51" s="234"/>
      <c r="O51" s="111"/>
      <c r="P51" s="111"/>
      <c r="Q51" s="111"/>
      <c r="R51" s="111"/>
      <c r="S51" s="111"/>
      <c r="T51" s="111"/>
      <c r="U51" s="111"/>
      <c r="V51" s="111"/>
    </row>
    <row r="52">
      <c r="A52" s="39" t="s">
        <v>83</v>
      </c>
      <c r="B52" s="19">
        <v>3.0</v>
      </c>
      <c r="C52" s="30" t="s">
        <v>113</v>
      </c>
      <c r="D52" s="125">
        <f>sumifs('삼성메가 9월 급여'!$G:$G, '삼성메가 9월 급여'!$C:$C, C52, '삼성메가 9월 급여'!$A:$A, A52) + sumifs('삼성메가 9월 급여'!$L:$L,'삼성메가 9월 급여'!$H:$H,C52, '삼성메가 9월 급여'!$A:$A, A52) + sumifs('삼성메가 9월 급여'!$Q:$Q,'삼성메가 9월 급여'!$M:$M,C52, '삼성메가 9월 급여'!$A:$A, A52) + sumifs('삼성메가 9월 급여'!$V:$V,'삼성메가 9월 급여'!$R:$R,C52, '삼성메가 9월 급여'!$A:$A, A52) + sumifs('삼성메가 9월 급여'!$AA:$AA,'삼성메가 9월 급여'!$W:$W,C52, '삼성메가 9월 급여'!$A:$A, A52) + sumifs('삼성메가 9월 급여'!$AF:$AF,'삼성메가 9월 급여'!$AB:$AB,C52, '삼성메가 9월 급여'!$A:$A, A52) + sumifs('삼성메가 9월 급여'!$AK:$AK,'삼성메가 9월 급여'!$AG:$AG,C52, '삼성메가 9월 급여'!$A:$A, A52)</f>
        <v>47</v>
      </c>
      <c r="E52" s="125" t="str">
        <f t="shared" si="13"/>
        <v>O</v>
      </c>
      <c r="F52" s="222">
        <v>11030.0</v>
      </c>
      <c r="G52" s="122">
        <f t="shared" si="11"/>
        <v>518410</v>
      </c>
      <c r="H52" s="122">
        <f>if(E52="O", 40/40*8*F52, 0)</f>
        <v>88240</v>
      </c>
      <c r="I52" s="122">
        <f t="shared" si="4"/>
        <v>606650</v>
      </c>
      <c r="J52" s="224"/>
      <c r="K52" s="111"/>
      <c r="L52" s="111"/>
      <c r="M52" s="111"/>
      <c r="N52" s="234"/>
      <c r="O52" s="111"/>
      <c r="P52" s="111"/>
      <c r="Q52" s="111"/>
      <c r="R52" s="111"/>
      <c r="S52" s="111"/>
      <c r="T52" s="111"/>
      <c r="U52" s="111"/>
      <c r="V52" s="111"/>
    </row>
    <row r="53">
      <c r="A53" s="39" t="s">
        <v>83</v>
      </c>
      <c r="B53" s="19">
        <v>4.0</v>
      </c>
      <c r="C53" s="30" t="s">
        <v>117</v>
      </c>
      <c r="D53" s="125">
        <f>sumifs('삼성메가 9월 급여'!$G:$G, '삼성메가 9월 급여'!$C:$C, C53, '삼성메가 9월 급여'!$A:$A, A53) + sumifs('삼성메가 9월 급여'!$L:$L,'삼성메가 9월 급여'!$H:$H,C53, '삼성메가 9월 급여'!$A:$A, A53) + sumifs('삼성메가 9월 급여'!$Q:$Q,'삼성메가 9월 급여'!$M:$M,C53, '삼성메가 9월 급여'!$A:$A, A53) + sumifs('삼성메가 9월 급여'!$V:$V,'삼성메가 9월 급여'!$R:$R,C53, '삼성메가 9월 급여'!$A:$A, A53) + sumifs('삼성메가 9월 급여'!$AA:$AA,'삼성메가 9월 급여'!$W:$W,C53, '삼성메가 9월 급여'!$A:$A, A53) + sumifs('삼성메가 9월 급여'!$AF:$AF,'삼성메가 9월 급여'!$AB:$AB,C53, '삼성메가 9월 급여'!$A:$A, A53) + sumifs('삼성메가 9월 급여'!$AK:$AK,'삼성메가 9월 급여'!$AG:$AG,C53, '삼성메가 9월 급여'!$A:$A, A53)</f>
        <v>5</v>
      </c>
      <c r="E53" s="125" t="str">
        <f t="shared" si="13"/>
        <v>X</v>
      </c>
      <c r="F53" s="222">
        <v>10030.0</v>
      </c>
      <c r="G53" s="122">
        <f t="shared" si="11"/>
        <v>50150</v>
      </c>
      <c r="H53" s="122">
        <f>if(E53="O", D53/40*8*F53, 0)</f>
        <v>0</v>
      </c>
      <c r="I53" s="122">
        <f t="shared" si="4"/>
        <v>50150</v>
      </c>
      <c r="J53" s="224"/>
      <c r="K53" s="111"/>
      <c r="L53" s="111"/>
      <c r="M53" s="111"/>
      <c r="N53" s="234"/>
      <c r="O53" s="111"/>
      <c r="P53" s="111"/>
      <c r="Q53" s="111"/>
      <c r="R53" s="111"/>
      <c r="S53" s="111"/>
      <c r="T53" s="111"/>
      <c r="U53" s="111"/>
      <c r="V53" s="111"/>
    </row>
    <row r="54">
      <c r="A54" s="39" t="s">
        <v>83</v>
      </c>
      <c r="B54" s="19">
        <v>5.0</v>
      </c>
      <c r="C54" s="163" t="s">
        <v>121</v>
      </c>
      <c r="D54" s="125">
        <f>sumifs('삼성메가 9월 급여'!$G:$G, '삼성메가 9월 급여'!$C:$C, C54, '삼성메가 9월 급여'!$A:$A, A54) + sumifs('삼성메가 9월 급여'!$L:$L,'삼성메가 9월 급여'!$H:$H,C54, '삼성메가 9월 급여'!$A:$A, A54) + sumifs('삼성메가 9월 급여'!$Q:$Q,'삼성메가 9월 급여'!$M:$M,C54, '삼성메가 9월 급여'!$A:$A, A54) + sumifs('삼성메가 9월 급여'!$V:$V,'삼성메가 9월 급여'!$R:$R,C54, '삼성메가 9월 급여'!$A:$A, A54) + sumifs('삼성메가 9월 급여'!$AA:$AA,'삼성메가 9월 급여'!$W:$W,C54, '삼성메가 9월 급여'!$A:$A, A54) + sumifs('삼성메가 9월 급여'!$AF:$AF,'삼성메가 9월 급여'!$AB:$AB,C54, '삼성메가 9월 급여'!$A:$A, A54) + sumifs('삼성메가 9월 급여'!$AK:$AK,'삼성메가 9월 급여'!$AG:$AG,C54, '삼성메가 9월 급여'!$A:$A, A54)</f>
        <v>16</v>
      </c>
      <c r="E54" s="125" t="str">
        <f t="shared" si="13"/>
        <v>O</v>
      </c>
      <c r="F54" s="222">
        <v>11030.0</v>
      </c>
      <c r="G54" s="122">
        <f t="shared" si="11"/>
        <v>176480</v>
      </c>
      <c r="H54" s="228">
        <f>if(E54="O", 16/40*8*F54, 0)</f>
        <v>35296</v>
      </c>
      <c r="I54" s="122">
        <f t="shared" si="4"/>
        <v>211776</v>
      </c>
      <c r="J54" s="224"/>
      <c r="K54" s="111"/>
      <c r="L54" s="111"/>
      <c r="M54" s="111"/>
      <c r="N54" s="234"/>
      <c r="O54" s="111"/>
      <c r="P54" s="111"/>
      <c r="Q54" s="111"/>
      <c r="R54" s="111"/>
      <c r="S54" s="111"/>
      <c r="T54" s="111"/>
      <c r="U54" s="111"/>
      <c r="V54" s="111"/>
    </row>
    <row r="55">
      <c r="A55" s="39" t="s">
        <v>83</v>
      </c>
      <c r="B55" s="19">
        <v>6.0</v>
      </c>
      <c r="C55" s="116" t="s">
        <v>125</v>
      </c>
      <c r="D55" s="125">
        <f>sumifs('삼성메가 9월 급여'!$G:$G, '삼성메가 9월 급여'!$C:$C, C55, '삼성메가 9월 급여'!$A:$A, A55) + sumifs('삼성메가 9월 급여'!$L:$L,'삼성메가 9월 급여'!$H:$H,C55, '삼성메가 9월 급여'!$A:$A, A55) + sumifs('삼성메가 9월 급여'!$Q:$Q,'삼성메가 9월 급여'!$M:$M,C55, '삼성메가 9월 급여'!$A:$A, A55) + sumifs('삼성메가 9월 급여'!$V:$V,'삼성메가 9월 급여'!$R:$R,C55, '삼성메가 9월 급여'!$A:$A, A55) + sumifs('삼성메가 9월 급여'!$AA:$AA,'삼성메가 9월 급여'!$W:$W,C55, '삼성메가 9월 급여'!$A:$A, A55) + sumifs('삼성메가 9월 급여'!$AF:$AF,'삼성메가 9월 급여'!$AB:$AB,C55, '삼성메가 9월 급여'!$A:$A, A55) + sumifs('삼성메가 9월 급여'!$AK:$AK,'삼성메가 9월 급여'!$AG:$AG,C55, '삼성메가 9월 급여'!$A:$A, A55)</f>
        <v>35</v>
      </c>
      <c r="E55" s="125" t="str">
        <f t="shared" si="13"/>
        <v>O</v>
      </c>
      <c r="F55" s="222">
        <v>11030.0</v>
      </c>
      <c r="G55" s="122">
        <f>(D55-3.5)*F55+3.5*11030</f>
        <v>386050</v>
      </c>
      <c r="H55" s="122">
        <f>if(E55="O", 16.5/40*8*F55, 0)</f>
        <v>36399</v>
      </c>
      <c r="I55" s="122">
        <f t="shared" si="4"/>
        <v>422449</v>
      </c>
      <c r="J55" s="224"/>
      <c r="K55" s="111"/>
      <c r="L55" s="111"/>
      <c r="M55" s="111"/>
      <c r="N55" s="234"/>
      <c r="O55" s="111"/>
      <c r="P55" s="111"/>
      <c r="Q55" s="111"/>
      <c r="R55" s="111"/>
      <c r="S55" s="111"/>
      <c r="T55" s="111"/>
      <c r="U55" s="111"/>
      <c r="V55" s="111"/>
    </row>
    <row r="56">
      <c r="A56" s="39" t="s">
        <v>83</v>
      </c>
      <c r="B56" s="19">
        <v>7.0</v>
      </c>
      <c r="C56" s="30" t="s">
        <v>129</v>
      </c>
      <c r="D56" s="125">
        <f>sumifs('삼성메가 9월 급여'!$G:$G, '삼성메가 9월 급여'!$C:$C, C56, '삼성메가 9월 급여'!$A:$A, A56) + sumifs('삼성메가 9월 급여'!$L:$L,'삼성메가 9월 급여'!$H:$H,C56, '삼성메가 9월 급여'!$A:$A, A56) + sumifs('삼성메가 9월 급여'!$Q:$Q,'삼성메가 9월 급여'!$M:$M,C56, '삼성메가 9월 급여'!$A:$A, A56) + sumifs('삼성메가 9월 급여'!$V:$V,'삼성메가 9월 급여'!$R:$R,C56, '삼성메가 9월 급여'!$A:$A, A56) + sumifs('삼성메가 9월 급여'!$AA:$AA,'삼성메가 9월 급여'!$W:$W,C56, '삼성메가 9월 급여'!$A:$A, A56) + sumifs('삼성메가 9월 급여'!$AF:$AF,'삼성메가 9월 급여'!$AB:$AB,C56, '삼성메가 9월 급여'!$A:$A, A56) + sumifs('삼성메가 9월 급여'!$AK:$AK,'삼성메가 9월 급여'!$AG:$AG,C56, '삼성메가 9월 급여'!$A:$A, A56)</f>
        <v>9</v>
      </c>
      <c r="E56" s="125" t="str">
        <f t="shared" si="13"/>
        <v>X</v>
      </c>
      <c r="F56" s="222">
        <v>11030.0</v>
      </c>
      <c r="G56" s="122">
        <f t="shared" ref="G56:G97" si="17">D56*F56</f>
        <v>99270</v>
      </c>
      <c r="H56" s="122">
        <f t="shared" ref="H56:H67" si="18">if(E56="O", D56/40*8*F56, 0)</f>
        <v>0</v>
      </c>
      <c r="I56" s="122">
        <f t="shared" si="4"/>
        <v>99270</v>
      </c>
      <c r="J56" s="224"/>
      <c r="K56" s="111"/>
      <c r="L56" s="111"/>
      <c r="M56" s="111"/>
      <c r="N56" s="234"/>
      <c r="O56" s="111"/>
      <c r="P56" s="111"/>
      <c r="Q56" s="111"/>
      <c r="R56" s="111"/>
      <c r="S56" s="111"/>
      <c r="T56" s="111"/>
      <c r="U56" s="111"/>
      <c r="V56" s="111"/>
    </row>
    <row r="57">
      <c r="A57" s="39" t="s">
        <v>83</v>
      </c>
      <c r="B57" s="19">
        <v>8.0</v>
      </c>
      <c r="C57" s="30" t="s">
        <v>133</v>
      </c>
      <c r="D57" s="125">
        <f>sumifs('삼성메가 9월 급여'!$G:$G, '삼성메가 9월 급여'!$C:$C, C57, '삼성메가 9월 급여'!$A:$A, A57) + sumifs('삼성메가 9월 급여'!$L:$L,'삼성메가 9월 급여'!$H:$H,C57, '삼성메가 9월 급여'!$A:$A, A57) + sumifs('삼성메가 9월 급여'!$Q:$Q,'삼성메가 9월 급여'!$M:$M,C57, '삼성메가 9월 급여'!$A:$A, A57) + sumifs('삼성메가 9월 급여'!$V:$V,'삼성메가 9월 급여'!$R:$R,C57, '삼성메가 9월 급여'!$A:$A, A57) + sumifs('삼성메가 9월 급여'!$AA:$AA,'삼성메가 9월 급여'!$W:$W,C57, '삼성메가 9월 급여'!$A:$A, A57) + sumifs('삼성메가 9월 급여'!$AF:$AF,'삼성메가 9월 급여'!$AB:$AB,C57, '삼성메가 9월 급여'!$A:$A, A57) + sumifs('삼성메가 9월 급여'!$AK:$AK,'삼성메가 9월 급여'!$AG:$AG,C57, '삼성메가 9월 급여'!$A:$A, A57)</f>
        <v>0</v>
      </c>
      <c r="E57" s="125" t="str">
        <f t="shared" si="13"/>
        <v>X</v>
      </c>
      <c r="F57" s="222">
        <v>11030.0</v>
      </c>
      <c r="G57" s="122">
        <f t="shared" si="17"/>
        <v>0</v>
      </c>
      <c r="H57" s="122">
        <f t="shared" si="18"/>
        <v>0</v>
      </c>
      <c r="I57" s="122">
        <f t="shared" si="4"/>
        <v>0</v>
      </c>
      <c r="J57" s="224"/>
      <c r="K57" s="111"/>
      <c r="L57" s="111"/>
      <c r="M57" s="111"/>
      <c r="N57" s="234"/>
      <c r="O57" s="111"/>
      <c r="P57" s="111"/>
      <c r="Q57" s="111"/>
      <c r="R57" s="111"/>
      <c r="S57" s="111"/>
      <c r="T57" s="111"/>
      <c r="U57" s="111"/>
      <c r="V57" s="111"/>
    </row>
    <row r="58">
      <c r="A58" s="39" t="s">
        <v>83</v>
      </c>
      <c r="B58" s="19">
        <v>9.0</v>
      </c>
      <c r="C58" s="30" t="s">
        <v>80</v>
      </c>
      <c r="D58" s="125">
        <f>sumifs('삼성메가 9월 급여'!$G:$G, '삼성메가 9월 급여'!$C:$C, C58, '삼성메가 9월 급여'!$A:$A, A58) + sumifs('삼성메가 9월 급여'!$L:$L,'삼성메가 9월 급여'!$H:$H,C58, '삼성메가 9월 급여'!$A:$A, A58) + sumifs('삼성메가 9월 급여'!$Q:$Q,'삼성메가 9월 급여'!$M:$M,C58, '삼성메가 9월 급여'!$A:$A, A58) + sumifs('삼성메가 9월 급여'!$V:$V,'삼성메가 9월 급여'!$R:$R,C58, '삼성메가 9월 급여'!$A:$A, A58) + sumifs('삼성메가 9월 급여'!$AA:$AA,'삼성메가 9월 급여'!$W:$W,C58, '삼성메가 9월 급여'!$A:$A, A58) + sumifs('삼성메가 9월 급여'!$AF:$AF,'삼성메가 9월 급여'!$AB:$AB,C58, '삼성메가 9월 급여'!$A:$A, A58) + sumifs('삼성메가 9월 급여'!$AK:$AK,'삼성메가 9월 급여'!$AG:$AG,C58, '삼성메가 9월 급여'!$A:$A, A58)</f>
        <v>8</v>
      </c>
      <c r="E58" s="125" t="str">
        <f t="shared" si="13"/>
        <v>X</v>
      </c>
      <c r="F58" s="222">
        <v>10030.0</v>
      </c>
      <c r="G58" s="122">
        <f t="shared" si="17"/>
        <v>80240</v>
      </c>
      <c r="H58" s="122">
        <f t="shared" si="18"/>
        <v>0</v>
      </c>
      <c r="I58" s="122">
        <f t="shared" si="4"/>
        <v>80240</v>
      </c>
      <c r="J58" s="224"/>
      <c r="K58" s="111"/>
      <c r="L58" s="111"/>
      <c r="M58" s="111"/>
      <c r="N58" s="234"/>
      <c r="O58" s="111"/>
      <c r="P58" s="111"/>
      <c r="Q58" s="111"/>
      <c r="R58" s="111"/>
      <c r="S58" s="111"/>
      <c r="T58" s="111"/>
      <c r="U58" s="111"/>
      <c r="V58" s="111"/>
    </row>
    <row r="59">
      <c r="A59" s="39" t="s">
        <v>83</v>
      </c>
      <c r="B59" s="19">
        <v>10.0</v>
      </c>
      <c r="C59" s="116" t="s">
        <v>50</v>
      </c>
      <c r="D59" s="125">
        <f>sumifs('삼성메가 9월 급여'!$G:$G, '삼성메가 9월 급여'!$C:$C, C59, '삼성메가 9월 급여'!$A:$A, A59) + sumifs('삼성메가 9월 급여'!$L:$L,'삼성메가 9월 급여'!$H:$H,C59, '삼성메가 9월 급여'!$A:$A, A59) + sumifs('삼성메가 9월 급여'!$Q:$Q,'삼성메가 9월 급여'!$M:$M,C59, '삼성메가 9월 급여'!$A:$A, A59) + sumifs('삼성메가 9월 급여'!$V:$V,'삼성메가 9월 급여'!$R:$R,C59, '삼성메가 9월 급여'!$A:$A, A59) + sumifs('삼성메가 9월 급여'!$AA:$AA,'삼성메가 9월 급여'!$W:$W,C59, '삼성메가 9월 급여'!$A:$A, A59) + sumifs('삼성메가 9월 급여'!$AF:$AF,'삼성메가 9월 급여'!$AB:$AB,C59, '삼성메가 9월 급여'!$A:$A, A59) + sumifs('삼성메가 9월 급여'!$AK:$AK,'삼성메가 9월 급여'!$AG:$AG,C59, '삼성메가 9월 급여'!$A:$A, A59)</f>
        <v>9</v>
      </c>
      <c r="E59" s="125" t="str">
        <f t="shared" si="13"/>
        <v>X</v>
      </c>
      <c r="F59" s="222">
        <v>10030.0</v>
      </c>
      <c r="G59" s="122">
        <f t="shared" si="17"/>
        <v>90270</v>
      </c>
      <c r="H59" s="122">
        <f t="shared" si="18"/>
        <v>0</v>
      </c>
      <c r="I59" s="122">
        <f t="shared" si="4"/>
        <v>90270</v>
      </c>
      <c r="J59" s="224"/>
      <c r="K59" s="111"/>
      <c r="L59" s="111"/>
      <c r="M59" s="111"/>
      <c r="N59" s="234"/>
      <c r="O59" s="111"/>
      <c r="P59" s="111"/>
      <c r="Q59" s="111"/>
      <c r="R59" s="111"/>
      <c r="S59" s="111"/>
      <c r="T59" s="111"/>
      <c r="U59" s="111"/>
      <c r="V59" s="111"/>
    </row>
    <row r="60">
      <c r="A60" s="39" t="s">
        <v>83</v>
      </c>
      <c r="B60" s="19">
        <v>11.0</v>
      </c>
      <c r="C60" s="116"/>
      <c r="D60" s="125">
        <f>sumifs('삼성메가 9월 급여'!$G:$G, '삼성메가 9월 급여'!$C:$C, C60, '삼성메가 9월 급여'!$A:$A, A60) + sumifs('삼성메가 9월 급여'!$L:$L,'삼성메가 9월 급여'!$H:$H,C60, '삼성메가 9월 급여'!$A:$A, A60) + sumifs('삼성메가 9월 급여'!$Q:$Q,'삼성메가 9월 급여'!$M:$M,C60, '삼성메가 9월 급여'!$A:$A, A60) + sumifs('삼성메가 9월 급여'!$V:$V,'삼성메가 9월 급여'!$R:$R,C60, '삼성메가 9월 급여'!$A:$A, A60) + sumifs('삼성메가 9월 급여'!$AA:$AA,'삼성메가 9월 급여'!$W:$W,C60, '삼성메가 9월 급여'!$A:$A, A60) + sumifs('삼성메가 9월 급여'!$AF:$AF,'삼성메가 9월 급여'!$AB:$AB,C60, '삼성메가 9월 급여'!$A:$A, A60) + sumifs('삼성메가 9월 급여'!$AK:$AK,'삼성메가 9월 급여'!$AG:$AG,C60, '삼성메가 9월 급여'!$A:$A, A60)</f>
        <v>0</v>
      </c>
      <c r="E60" s="125" t="str">
        <f t="shared" si="13"/>
        <v>X</v>
      </c>
      <c r="F60" s="222">
        <v>10030.0</v>
      </c>
      <c r="G60" s="122">
        <f t="shared" si="17"/>
        <v>0</v>
      </c>
      <c r="H60" s="122">
        <f t="shared" si="18"/>
        <v>0</v>
      </c>
      <c r="I60" s="122">
        <f t="shared" si="4"/>
        <v>0</v>
      </c>
      <c r="J60" s="224"/>
      <c r="K60" s="111"/>
      <c r="L60" s="111"/>
      <c r="M60" s="111"/>
      <c r="N60" s="234"/>
      <c r="O60" s="111"/>
      <c r="P60" s="111"/>
      <c r="Q60" s="111"/>
      <c r="R60" s="111"/>
      <c r="S60" s="111"/>
      <c r="T60" s="111"/>
      <c r="U60" s="111"/>
      <c r="V60" s="111"/>
    </row>
    <row r="61">
      <c r="A61" s="39" t="s">
        <v>83</v>
      </c>
      <c r="B61" s="19">
        <v>12.0</v>
      </c>
      <c r="C61" s="116"/>
      <c r="D61" s="125">
        <f>sumifs('삼성메가 9월 급여'!$G:$G, '삼성메가 9월 급여'!$C:$C, C61, '삼성메가 9월 급여'!$A:$A, A61) + sumifs('삼성메가 9월 급여'!$L:$L,'삼성메가 9월 급여'!$H:$H,C61, '삼성메가 9월 급여'!$A:$A, A61) + sumifs('삼성메가 9월 급여'!$Q:$Q,'삼성메가 9월 급여'!$M:$M,C61, '삼성메가 9월 급여'!$A:$A, A61) + sumifs('삼성메가 9월 급여'!$V:$V,'삼성메가 9월 급여'!$R:$R,C61, '삼성메가 9월 급여'!$A:$A, A61) + sumifs('삼성메가 9월 급여'!$AA:$AA,'삼성메가 9월 급여'!$W:$W,C61, '삼성메가 9월 급여'!$A:$A, A61) + sumifs('삼성메가 9월 급여'!$AF:$AF,'삼성메가 9월 급여'!$AB:$AB,C61, '삼성메가 9월 급여'!$A:$A, A61) + sumifs('삼성메가 9월 급여'!$AK:$AK,'삼성메가 9월 급여'!$AG:$AG,C61, '삼성메가 9월 급여'!$A:$A, A61)</f>
        <v>0</v>
      </c>
      <c r="E61" s="125" t="str">
        <f t="shared" si="13"/>
        <v>X</v>
      </c>
      <c r="F61" s="222">
        <v>10030.0</v>
      </c>
      <c r="G61" s="122">
        <f t="shared" si="17"/>
        <v>0</v>
      </c>
      <c r="H61" s="122">
        <f t="shared" si="18"/>
        <v>0</v>
      </c>
      <c r="I61" s="122">
        <f t="shared" si="4"/>
        <v>0</v>
      </c>
      <c r="J61" s="224"/>
      <c r="K61" s="111"/>
      <c r="L61" s="111"/>
      <c r="M61" s="111"/>
      <c r="N61" s="234"/>
      <c r="O61" s="111"/>
      <c r="P61" s="111"/>
      <c r="Q61" s="111"/>
      <c r="R61" s="111"/>
      <c r="S61" s="111"/>
      <c r="T61" s="111"/>
      <c r="U61" s="111"/>
      <c r="V61" s="111"/>
    </row>
    <row r="62">
      <c r="A62" s="39" t="s">
        <v>83</v>
      </c>
      <c r="B62" s="19">
        <v>13.0</v>
      </c>
      <c r="C62" s="116"/>
      <c r="D62" s="125">
        <f>sumifs('삼성메가 9월 급여'!$G:$G, '삼성메가 9월 급여'!$C:$C, C62, '삼성메가 9월 급여'!$A:$A, A62) + sumifs('삼성메가 9월 급여'!$L:$L,'삼성메가 9월 급여'!$H:$H,C62, '삼성메가 9월 급여'!$A:$A, A62) + sumifs('삼성메가 9월 급여'!$Q:$Q,'삼성메가 9월 급여'!$M:$M,C62, '삼성메가 9월 급여'!$A:$A, A62) + sumifs('삼성메가 9월 급여'!$V:$V,'삼성메가 9월 급여'!$R:$R,C62, '삼성메가 9월 급여'!$A:$A, A62) + sumifs('삼성메가 9월 급여'!$AA:$AA,'삼성메가 9월 급여'!$W:$W,C62, '삼성메가 9월 급여'!$A:$A, A62) + sumifs('삼성메가 9월 급여'!$AF:$AF,'삼성메가 9월 급여'!$AB:$AB,C62, '삼성메가 9월 급여'!$A:$A, A62) + sumifs('삼성메가 9월 급여'!$AK:$AK,'삼성메가 9월 급여'!$AG:$AG,C62, '삼성메가 9월 급여'!$A:$A, A62)</f>
        <v>0</v>
      </c>
      <c r="E62" s="125" t="str">
        <f t="shared" si="13"/>
        <v>X</v>
      </c>
      <c r="F62" s="222">
        <v>10030.0</v>
      </c>
      <c r="G62" s="122">
        <f t="shared" si="17"/>
        <v>0</v>
      </c>
      <c r="H62" s="122">
        <f t="shared" si="18"/>
        <v>0</v>
      </c>
      <c r="I62" s="122">
        <f t="shared" si="4"/>
        <v>0</v>
      </c>
      <c r="J62" s="224"/>
      <c r="K62" s="111"/>
      <c r="L62" s="111"/>
      <c r="M62" s="111"/>
      <c r="N62" s="234"/>
      <c r="O62" s="111"/>
      <c r="P62" s="111"/>
      <c r="Q62" s="111"/>
      <c r="R62" s="111"/>
      <c r="S62" s="111"/>
      <c r="T62" s="111"/>
      <c r="U62" s="111"/>
      <c r="V62" s="111"/>
    </row>
    <row r="63">
      <c r="A63" s="39" t="s">
        <v>83</v>
      </c>
      <c r="B63" s="19">
        <v>14.0</v>
      </c>
      <c r="C63" s="126"/>
      <c r="D63" s="125">
        <f>sumifs('삼성메가 9월 급여'!$G:$G, '삼성메가 9월 급여'!$C:$C, C63, '삼성메가 9월 급여'!$A:$A, A63) + sumifs('삼성메가 9월 급여'!$L:$L,'삼성메가 9월 급여'!$H:$H,C63, '삼성메가 9월 급여'!$A:$A, A63) + sumifs('삼성메가 9월 급여'!$Q:$Q,'삼성메가 9월 급여'!$M:$M,C63, '삼성메가 9월 급여'!$A:$A, A63) + sumifs('삼성메가 9월 급여'!$V:$V,'삼성메가 9월 급여'!$R:$R,C63, '삼성메가 9월 급여'!$A:$A, A63) + sumifs('삼성메가 9월 급여'!$AA:$AA,'삼성메가 9월 급여'!$W:$W,C63, '삼성메가 9월 급여'!$A:$A, A63) + sumifs('삼성메가 9월 급여'!$AF:$AF,'삼성메가 9월 급여'!$AB:$AB,C63, '삼성메가 9월 급여'!$A:$A, A63) + sumifs('삼성메가 9월 급여'!$AK:$AK,'삼성메가 9월 급여'!$AG:$AG,C63, '삼성메가 9월 급여'!$A:$A, A63)</f>
        <v>0</v>
      </c>
      <c r="E63" s="125" t="str">
        <f t="shared" si="13"/>
        <v>X</v>
      </c>
      <c r="F63" s="222">
        <v>10030.0</v>
      </c>
      <c r="G63" s="122">
        <f t="shared" si="17"/>
        <v>0</v>
      </c>
      <c r="H63" s="122">
        <f t="shared" si="18"/>
        <v>0</v>
      </c>
      <c r="I63" s="122">
        <f t="shared" si="4"/>
        <v>0</v>
      </c>
      <c r="J63" s="224"/>
      <c r="K63" s="111"/>
      <c r="L63" s="111"/>
      <c r="M63" s="111"/>
      <c r="N63" s="234"/>
      <c r="O63" s="111"/>
      <c r="P63" s="111"/>
      <c r="Q63" s="111"/>
      <c r="R63" s="111"/>
      <c r="S63" s="111"/>
      <c r="T63" s="111"/>
      <c r="U63" s="111"/>
      <c r="V63" s="111"/>
    </row>
    <row r="64">
      <c r="A64" s="39" t="s">
        <v>83</v>
      </c>
      <c r="B64" s="19">
        <v>15.0</v>
      </c>
      <c r="C64" s="126"/>
      <c r="D64" s="125">
        <f>sumifs('삼성메가 9월 급여'!$G:$G, '삼성메가 9월 급여'!$C:$C, C64, '삼성메가 9월 급여'!$A:$A, A64) + sumifs('삼성메가 9월 급여'!$L:$L,'삼성메가 9월 급여'!$H:$H,C64, '삼성메가 9월 급여'!$A:$A, A64) + sumifs('삼성메가 9월 급여'!$Q:$Q,'삼성메가 9월 급여'!$M:$M,C64, '삼성메가 9월 급여'!$A:$A, A64) + sumifs('삼성메가 9월 급여'!$V:$V,'삼성메가 9월 급여'!$R:$R,C64, '삼성메가 9월 급여'!$A:$A, A64) + sumifs('삼성메가 9월 급여'!$AA:$AA,'삼성메가 9월 급여'!$W:$W,C64, '삼성메가 9월 급여'!$A:$A, A64) + sumifs('삼성메가 9월 급여'!$AF:$AF,'삼성메가 9월 급여'!$AB:$AB,C64, '삼성메가 9월 급여'!$A:$A, A64) + sumifs('삼성메가 9월 급여'!$AK:$AK,'삼성메가 9월 급여'!$AG:$AG,C64, '삼성메가 9월 급여'!$A:$A, A64)</f>
        <v>0</v>
      </c>
      <c r="E64" s="125" t="str">
        <f t="shared" si="13"/>
        <v>X</v>
      </c>
      <c r="F64" s="222">
        <v>10030.0</v>
      </c>
      <c r="G64" s="122">
        <f t="shared" si="17"/>
        <v>0</v>
      </c>
      <c r="H64" s="122">
        <f t="shared" si="18"/>
        <v>0</v>
      </c>
      <c r="I64" s="122">
        <f t="shared" si="4"/>
        <v>0</v>
      </c>
      <c r="J64" s="224"/>
      <c r="K64" s="111"/>
      <c r="L64" s="111"/>
      <c r="M64" s="111"/>
      <c r="N64" s="234"/>
      <c r="O64" s="111"/>
      <c r="P64" s="111"/>
      <c r="Q64" s="111"/>
      <c r="R64" s="111"/>
      <c r="S64" s="111"/>
      <c r="T64" s="111"/>
      <c r="U64" s="111"/>
      <c r="V64" s="111"/>
    </row>
    <row r="65">
      <c r="A65" s="39" t="s">
        <v>83</v>
      </c>
      <c r="B65" s="19">
        <v>16.0</v>
      </c>
      <c r="C65" s="30"/>
      <c r="D65" s="125">
        <f>sumifs('삼성메가 9월 급여'!$G:$G, '삼성메가 9월 급여'!$C:$C, C65, '삼성메가 9월 급여'!$A:$A, A65) + sumifs('삼성메가 9월 급여'!$L:$L,'삼성메가 9월 급여'!$H:$H,C65, '삼성메가 9월 급여'!$A:$A, A65) + sumifs('삼성메가 9월 급여'!$Q:$Q,'삼성메가 9월 급여'!$M:$M,C65, '삼성메가 9월 급여'!$A:$A, A65) + sumifs('삼성메가 9월 급여'!$V:$V,'삼성메가 9월 급여'!$R:$R,C65, '삼성메가 9월 급여'!$A:$A, A65) + sumifs('삼성메가 9월 급여'!$AA:$AA,'삼성메가 9월 급여'!$W:$W,C65, '삼성메가 9월 급여'!$A:$A, A65) + sumifs('삼성메가 9월 급여'!$AF:$AF,'삼성메가 9월 급여'!$AB:$AB,C65, '삼성메가 9월 급여'!$A:$A, A65) + sumifs('삼성메가 9월 급여'!$AK:$AK,'삼성메가 9월 급여'!$AG:$AG,C65, '삼성메가 9월 급여'!$A:$A, A65)</f>
        <v>0</v>
      </c>
      <c r="E65" s="125" t="str">
        <f t="shared" si="13"/>
        <v>X</v>
      </c>
      <c r="F65" s="222">
        <v>10030.0</v>
      </c>
      <c r="G65" s="122">
        <f t="shared" si="17"/>
        <v>0</v>
      </c>
      <c r="H65" s="122">
        <f t="shared" si="18"/>
        <v>0</v>
      </c>
      <c r="I65" s="122">
        <f t="shared" si="4"/>
        <v>0</v>
      </c>
      <c r="J65" s="224"/>
      <c r="K65" s="111"/>
      <c r="L65" s="111"/>
      <c r="M65" s="111"/>
      <c r="N65" s="234"/>
      <c r="O65" s="111"/>
      <c r="P65" s="111"/>
      <c r="Q65" s="111"/>
      <c r="R65" s="111"/>
      <c r="S65" s="111"/>
      <c r="T65" s="111"/>
      <c r="U65" s="111"/>
      <c r="V65" s="111"/>
    </row>
    <row r="66">
      <c r="A66" s="147" t="s">
        <v>84</v>
      </c>
      <c r="B66" s="19">
        <v>1.0</v>
      </c>
      <c r="C66" s="30" t="s">
        <v>16</v>
      </c>
      <c r="D66" s="125">
        <f>sumifs('삼성메가 9월 급여'!$G:$G, '삼성메가 9월 급여'!$C:$C, C66, '삼성메가 9월 급여'!$A:$A, A66) + sumifs('삼성메가 9월 급여'!$L:$L,'삼성메가 9월 급여'!$H:$H,C66, '삼성메가 9월 급여'!$A:$A, A66) + sumifs('삼성메가 9월 급여'!$Q:$Q,'삼성메가 9월 급여'!$M:$M,C66, '삼성메가 9월 급여'!$A:$A, A66) + sumifs('삼성메가 9월 급여'!$V:$V,'삼성메가 9월 급여'!$R:$R,C66, '삼성메가 9월 급여'!$A:$A, A66) + sumifs('삼성메가 9월 급여'!$AA:$AA,'삼성메가 9월 급여'!$W:$W,C66, '삼성메가 9월 급여'!$A:$A, A66) + sumifs('삼성메가 9월 급여'!$AF:$AF,'삼성메가 9월 급여'!$AB:$AB,C66, '삼성메가 9월 급여'!$A:$A, A66) + sumifs('삼성메가 9월 급여'!$AK:$AK,'삼성메가 9월 급여'!$AG:$AG,C66, '삼성메가 9월 급여'!$A:$A, A66)</f>
        <v>14</v>
      </c>
      <c r="E66" s="125" t="str">
        <f t="shared" si="13"/>
        <v>X</v>
      </c>
      <c r="F66" s="222">
        <v>10030.0</v>
      </c>
      <c r="G66" s="122">
        <f t="shared" si="17"/>
        <v>140420</v>
      </c>
      <c r="H66" s="122">
        <f t="shared" si="18"/>
        <v>0</v>
      </c>
      <c r="I66" s="122">
        <f t="shared" si="4"/>
        <v>140420</v>
      </c>
      <c r="J66" s="224"/>
      <c r="K66" s="111"/>
      <c r="L66" s="111"/>
      <c r="M66" s="111"/>
      <c r="N66" s="234"/>
      <c r="O66" s="111"/>
      <c r="P66" s="111"/>
      <c r="Q66" s="111"/>
      <c r="R66" s="111"/>
      <c r="S66" s="111"/>
      <c r="T66" s="111"/>
      <c r="U66" s="111"/>
      <c r="V66" s="111"/>
    </row>
    <row r="67">
      <c r="A67" s="147" t="s">
        <v>84</v>
      </c>
      <c r="B67" s="19">
        <v>2.0</v>
      </c>
      <c r="C67" s="30" t="s">
        <v>110</v>
      </c>
      <c r="D67" s="125">
        <f>sumifs('삼성메가 9월 급여'!$G:$G, '삼성메가 9월 급여'!$C:$C, C67, '삼성메가 9월 급여'!$A:$A, A67) + sumifs('삼성메가 9월 급여'!$L:$L,'삼성메가 9월 급여'!$H:$H,C67, '삼성메가 9월 급여'!$A:$A, A67) + sumifs('삼성메가 9월 급여'!$Q:$Q,'삼성메가 9월 급여'!$M:$M,C67, '삼성메가 9월 급여'!$A:$A, A67) + sumifs('삼성메가 9월 급여'!$V:$V,'삼성메가 9월 급여'!$R:$R,C67, '삼성메가 9월 급여'!$A:$A, A67) + sumifs('삼성메가 9월 급여'!$AA:$AA,'삼성메가 9월 급여'!$W:$W,C67, '삼성메가 9월 급여'!$A:$A, A67) + sumifs('삼성메가 9월 급여'!$AF:$AF,'삼성메가 9월 급여'!$AB:$AB,C67, '삼성메가 9월 급여'!$A:$A, A67) + sumifs('삼성메가 9월 급여'!$AK:$AK,'삼성메가 9월 급여'!$AG:$AG,C67, '삼성메가 9월 급여'!$A:$A, A67)</f>
        <v>0</v>
      </c>
      <c r="E67" s="125" t="str">
        <f t="shared" si="13"/>
        <v>X</v>
      </c>
      <c r="F67" s="222">
        <v>11030.0</v>
      </c>
      <c r="G67" s="122">
        <f t="shared" si="17"/>
        <v>0</v>
      </c>
      <c r="H67" s="122">
        <f t="shared" si="18"/>
        <v>0</v>
      </c>
      <c r="I67" s="122">
        <f t="shared" si="4"/>
        <v>0</v>
      </c>
      <c r="J67" s="224"/>
      <c r="K67" s="111"/>
      <c r="L67" s="111"/>
      <c r="M67" s="111"/>
      <c r="N67" s="234"/>
      <c r="O67" s="111"/>
      <c r="P67" s="111"/>
      <c r="Q67" s="111"/>
      <c r="R67" s="111"/>
      <c r="S67" s="111"/>
      <c r="T67" s="111"/>
      <c r="U67" s="111"/>
      <c r="V67" s="111"/>
    </row>
    <row r="68">
      <c r="A68" s="147" t="s">
        <v>84</v>
      </c>
      <c r="B68" s="19">
        <v>3.0</v>
      </c>
      <c r="C68" s="30" t="s">
        <v>113</v>
      </c>
      <c r="D68" s="125">
        <f>sumifs('삼성메가 9월 급여'!$G:$G, '삼성메가 9월 급여'!$C:$C, C68, '삼성메가 9월 급여'!$A:$A, A68) + sumifs('삼성메가 9월 급여'!$L:$L,'삼성메가 9월 급여'!$H:$H,C68, '삼성메가 9월 급여'!$A:$A, A68) + sumifs('삼성메가 9월 급여'!$Q:$Q,'삼성메가 9월 급여'!$M:$M,C68, '삼성메가 9월 급여'!$A:$A, A68) + sumifs('삼성메가 9월 급여'!$V:$V,'삼성메가 9월 급여'!$R:$R,C68, '삼성메가 9월 급여'!$A:$A, A68) + sumifs('삼성메가 9월 급여'!$AA:$AA,'삼성메가 9월 급여'!$W:$W,C68, '삼성메가 9월 급여'!$A:$A, A68) + sumifs('삼성메가 9월 급여'!$AF:$AF,'삼성메가 9월 급여'!$AB:$AB,C68, '삼성메가 9월 급여'!$A:$A, A68) + sumifs('삼성메가 9월 급여'!$AK:$AK,'삼성메가 9월 급여'!$AG:$AG,C68, '삼성메가 9월 급여'!$A:$A, A68)</f>
        <v>18</v>
      </c>
      <c r="E68" s="125" t="str">
        <f t="shared" si="13"/>
        <v>O</v>
      </c>
      <c r="F68" s="222">
        <v>11030.0</v>
      </c>
      <c r="G68" s="122">
        <f t="shared" si="17"/>
        <v>198540</v>
      </c>
      <c r="H68" s="222">
        <v>0.0</v>
      </c>
      <c r="I68" s="122">
        <f t="shared" si="4"/>
        <v>198540</v>
      </c>
      <c r="J68" s="224"/>
      <c r="K68" s="111"/>
      <c r="L68" s="111"/>
      <c r="M68" s="111"/>
      <c r="N68" s="234"/>
      <c r="O68" s="111"/>
      <c r="P68" s="111"/>
      <c r="Q68" s="111"/>
      <c r="R68" s="111"/>
      <c r="S68" s="111"/>
      <c r="T68" s="111"/>
      <c r="U68" s="111"/>
      <c r="V68" s="111"/>
    </row>
    <row r="69">
      <c r="A69" s="147" t="s">
        <v>84</v>
      </c>
      <c r="B69" s="19">
        <v>4.0</v>
      </c>
      <c r="C69" s="30" t="s">
        <v>117</v>
      </c>
      <c r="D69" s="125">
        <f>sumifs('삼성메가 9월 급여'!$G:$G, '삼성메가 9월 급여'!$C:$C, C69, '삼성메가 9월 급여'!$A:$A, A69) + sumifs('삼성메가 9월 급여'!$L:$L,'삼성메가 9월 급여'!$H:$H,C69, '삼성메가 9월 급여'!$A:$A, A69) + sumifs('삼성메가 9월 급여'!$Q:$Q,'삼성메가 9월 급여'!$M:$M,C69, '삼성메가 9월 급여'!$A:$A, A69) + sumifs('삼성메가 9월 급여'!$V:$V,'삼성메가 9월 급여'!$R:$R,C69, '삼성메가 9월 급여'!$A:$A, A69) + sumifs('삼성메가 9월 급여'!$AA:$AA,'삼성메가 9월 급여'!$W:$W,C69, '삼성메가 9월 급여'!$A:$A, A69) + sumifs('삼성메가 9월 급여'!$AF:$AF,'삼성메가 9월 급여'!$AB:$AB,C69, '삼성메가 9월 급여'!$A:$A, A69) + sumifs('삼성메가 9월 급여'!$AK:$AK,'삼성메가 9월 급여'!$AG:$AG,C69, '삼성메가 9월 급여'!$A:$A, A69)</f>
        <v>0</v>
      </c>
      <c r="E69" s="125" t="str">
        <f t="shared" si="13"/>
        <v>X</v>
      </c>
      <c r="F69" s="222">
        <v>10030.0</v>
      </c>
      <c r="G69" s="122">
        <f t="shared" si="17"/>
        <v>0</v>
      </c>
      <c r="H69" s="122">
        <f>if(E69="O", D69/40*8*F69, 0)</f>
        <v>0</v>
      </c>
      <c r="I69" s="122">
        <f t="shared" si="4"/>
        <v>0</v>
      </c>
      <c r="J69" s="224"/>
      <c r="K69" s="111"/>
      <c r="L69" s="111"/>
      <c r="M69" s="111"/>
      <c r="N69" s="234"/>
      <c r="O69" s="111"/>
      <c r="P69" s="111"/>
      <c r="Q69" s="111"/>
      <c r="R69" s="111"/>
      <c r="S69" s="111"/>
      <c r="T69" s="111"/>
      <c r="U69" s="111"/>
      <c r="V69" s="111"/>
    </row>
    <row r="70">
      <c r="A70" s="147" t="s">
        <v>84</v>
      </c>
      <c r="B70" s="19">
        <v>5.0</v>
      </c>
      <c r="C70" s="163" t="s">
        <v>121</v>
      </c>
      <c r="D70" s="125">
        <f>sumifs('삼성메가 9월 급여'!$G:$G, '삼성메가 9월 급여'!$C:$C, C70, '삼성메가 9월 급여'!$A:$A, A70) + sumifs('삼성메가 9월 급여'!$L:$L,'삼성메가 9월 급여'!$H:$H,C70, '삼성메가 9월 급여'!$A:$A, A70) + sumifs('삼성메가 9월 급여'!$Q:$Q,'삼성메가 9월 급여'!$M:$M,C70, '삼성메가 9월 급여'!$A:$A, A70) + sumifs('삼성메가 9월 급여'!$V:$V,'삼성메가 9월 급여'!$R:$R,C70, '삼성메가 9월 급여'!$A:$A, A70) + sumifs('삼성메가 9월 급여'!$AA:$AA,'삼성메가 9월 급여'!$W:$W,C70, '삼성메가 9월 급여'!$A:$A, A70) + sumifs('삼성메가 9월 급여'!$AF:$AF,'삼성메가 9월 급여'!$AB:$AB,C70, '삼성메가 9월 급여'!$A:$A, A70) + sumifs('삼성메가 9월 급여'!$AK:$AK,'삼성메가 9월 급여'!$AG:$AG,C70, '삼성메가 9월 급여'!$A:$A, A70)</f>
        <v>0</v>
      </c>
      <c r="E70" s="125" t="str">
        <f t="shared" si="13"/>
        <v>X</v>
      </c>
      <c r="F70" s="222">
        <v>11030.0</v>
      </c>
      <c r="G70" s="122">
        <f t="shared" si="17"/>
        <v>0</v>
      </c>
      <c r="H70" s="228">
        <f>if(E70="O", 16/40*8*F70, 0)</f>
        <v>0</v>
      </c>
      <c r="I70" s="122">
        <f t="shared" si="4"/>
        <v>0</v>
      </c>
      <c r="J70" s="224"/>
      <c r="K70" s="111"/>
      <c r="L70" s="111"/>
      <c r="M70" s="111"/>
      <c r="N70" s="234"/>
      <c r="O70" s="111"/>
      <c r="P70" s="111"/>
      <c r="Q70" s="111"/>
      <c r="R70" s="111"/>
      <c r="S70" s="111"/>
      <c r="T70" s="111"/>
      <c r="U70" s="111"/>
      <c r="V70" s="111"/>
    </row>
    <row r="71">
      <c r="A71" s="147" t="s">
        <v>84</v>
      </c>
      <c r="B71" s="19">
        <v>6.0</v>
      </c>
      <c r="C71" s="116" t="s">
        <v>125</v>
      </c>
      <c r="D71" s="125">
        <f>sumifs('삼성메가 9월 급여'!$G:$G, '삼성메가 9월 급여'!$C:$C, C71, '삼성메가 9월 급여'!$A:$A, A71) + sumifs('삼성메가 9월 급여'!$L:$L,'삼성메가 9월 급여'!$H:$H,C71, '삼성메가 9월 급여'!$A:$A, A71) + sumifs('삼성메가 9월 급여'!$Q:$Q,'삼성메가 9월 급여'!$M:$M,C71, '삼성메가 9월 급여'!$A:$A, A71) + sumifs('삼성메가 9월 급여'!$V:$V,'삼성메가 9월 급여'!$R:$R,C71, '삼성메가 9월 급여'!$A:$A, A71) + sumifs('삼성메가 9월 급여'!$AA:$AA,'삼성메가 9월 급여'!$W:$W,C71, '삼성메가 9월 급여'!$A:$A, A71) + sumifs('삼성메가 9월 급여'!$AF:$AF,'삼성메가 9월 급여'!$AB:$AB,C71, '삼성메가 9월 급여'!$A:$A, A71) + sumifs('삼성메가 9월 급여'!$AK:$AK,'삼성메가 9월 급여'!$AG:$AG,C71, '삼성메가 9월 급여'!$A:$A, A71)</f>
        <v>13</v>
      </c>
      <c r="E71" s="125" t="str">
        <f t="shared" si="13"/>
        <v>X</v>
      </c>
      <c r="F71" s="222">
        <v>11030.0</v>
      </c>
      <c r="G71" s="122">
        <f t="shared" si="17"/>
        <v>143390</v>
      </c>
      <c r="H71" s="122">
        <f>if(E71="O", 16.5/40*8*F71, 0)</f>
        <v>0</v>
      </c>
      <c r="I71" s="122">
        <f t="shared" si="4"/>
        <v>143390</v>
      </c>
      <c r="J71" s="224"/>
      <c r="K71" s="111"/>
      <c r="L71" s="111"/>
      <c r="M71" s="111"/>
      <c r="N71" s="234"/>
      <c r="O71" s="111"/>
      <c r="P71" s="111"/>
      <c r="Q71" s="111"/>
      <c r="R71" s="111"/>
      <c r="S71" s="111"/>
      <c r="T71" s="111"/>
      <c r="U71" s="111"/>
      <c r="V71" s="111"/>
    </row>
    <row r="72">
      <c r="A72" s="147" t="s">
        <v>84</v>
      </c>
      <c r="B72" s="19">
        <v>7.0</v>
      </c>
      <c r="C72" s="30" t="s">
        <v>129</v>
      </c>
      <c r="D72" s="125">
        <f>sumifs('삼성메가 9월 급여'!$G:$G, '삼성메가 9월 급여'!$C:$C, C72, '삼성메가 9월 급여'!$A:$A, A72) + sumifs('삼성메가 9월 급여'!$L:$L,'삼성메가 9월 급여'!$H:$H,C72, '삼성메가 9월 급여'!$A:$A, A72) + sumifs('삼성메가 9월 급여'!$Q:$Q,'삼성메가 9월 급여'!$M:$M,C72, '삼성메가 9월 급여'!$A:$A, A72) + sumifs('삼성메가 9월 급여'!$V:$V,'삼성메가 9월 급여'!$R:$R,C72, '삼성메가 9월 급여'!$A:$A, A72) + sumifs('삼성메가 9월 급여'!$AA:$AA,'삼성메가 9월 급여'!$W:$W,C72, '삼성메가 9월 급여'!$A:$A, A72) + sumifs('삼성메가 9월 급여'!$AF:$AF,'삼성메가 9월 급여'!$AB:$AB,C72, '삼성메가 9월 급여'!$A:$A, A72) + sumifs('삼성메가 9월 급여'!$AK:$AK,'삼성메가 9월 급여'!$AG:$AG,C72, '삼성메가 9월 급여'!$A:$A, A72)</f>
        <v>3.5</v>
      </c>
      <c r="E72" s="125" t="str">
        <f t="shared" si="13"/>
        <v>X</v>
      </c>
      <c r="F72" s="222">
        <v>11030.0</v>
      </c>
      <c r="G72" s="122">
        <f t="shared" si="17"/>
        <v>38605</v>
      </c>
      <c r="H72" s="122">
        <f t="shared" ref="H72:H97" si="19">if(E72="O", D72/40*8*F72, 0)</f>
        <v>0</v>
      </c>
      <c r="I72" s="122">
        <f t="shared" si="4"/>
        <v>38605</v>
      </c>
      <c r="J72" s="224"/>
      <c r="K72" s="111"/>
      <c r="L72" s="111"/>
      <c r="M72" s="111"/>
      <c r="N72" s="234"/>
      <c r="O72" s="111"/>
      <c r="P72" s="111"/>
      <c r="Q72" s="111"/>
      <c r="R72" s="111"/>
      <c r="S72" s="111"/>
      <c r="T72" s="111"/>
      <c r="U72" s="111"/>
      <c r="V72" s="111"/>
    </row>
    <row r="73">
      <c r="A73" s="147" t="s">
        <v>84</v>
      </c>
      <c r="B73" s="19">
        <v>8.0</v>
      </c>
      <c r="C73" s="30" t="s">
        <v>133</v>
      </c>
      <c r="D73" s="125">
        <f>sumifs('삼성메가 9월 급여'!$G:$G, '삼성메가 9월 급여'!$C:$C, C73, '삼성메가 9월 급여'!$A:$A, A73) + sumifs('삼성메가 9월 급여'!$L:$L,'삼성메가 9월 급여'!$H:$H,C73, '삼성메가 9월 급여'!$A:$A, A73) + sumifs('삼성메가 9월 급여'!$Q:$Q,'삼성메가 9월 급여'!$M:$M,C73, '삼성메가 9월 급여'!$A:$A, A73) + sumifs('삼성메가 9월 급여'!$V:$V,'삼성메가 9월 급여'!$R:$R,C73, '삼성메가 9월 급여'!$A:$A, A73) + sumifs('삼성메가 9월 급여'!$AA:$AA,'삼성메가 9월 급여'!$W:$W,C73, '삼성메가 9월 급여'!$A:$A, A73) + sumifs('삼성메가 9월 급여'!$AF:$AF,'삼성메가 9월 급여'!$AB:$AB,C73, '삼성메가 9월 급여'!$A:$A, A73) + sumifs('삼성메가 9월 급여'!$AK:$AK,'삼성메가 9월 급여'!$AG:$AG,C73, '삼성메가 9월 급여'!$A:$A, A73)</f>
        <v>0</v>
      </c>
      <c r="E73" s="125" t="str">
        <f t="shared" si="13"/>
        <v>X</v>
      </c>
      <c r="F73" s="222">
        <v>11030.0</v>
      </c>
      <c r="G73" s="122">
        <f t="shared" si="17"/>
        <v>0</v>
      </c>
      <c r="H73" s="122">
        <f t="shared" si="19"/>
        <v>0</v>
      </c>
      <c r="I73" s="122">
        <f t="shared" si="4"/>
        <v>0</v>
      </c>
      <c r="J73" s="224"/>
      <c r="K73" s="111"/>
      <c r="L73" s="111"/>
      <c r="M73" s="111"/>
      <c r="N73" s="234"/>
      <c r="O73" s="111"/>
      <c r="P73" s="111"/>
      <c r="Q73" s="111"/>
      <c r="R73" s="111"/>
      <c r="S73" s="111"/>
      <c r="T73" s="111"/>
      <c r="U73" s="111"/>
      <c r="V73" s="111"/>
    </row>
    <row r="74">
      <c r="A74" s="147" t="s">
        <v>84</v>
      </c>
      <c r="B74" s="19">
        <v>9.0</v>
      </c>
      <c r="C74" s="30" t="s">
        <v>80</v>
      </c>
      <c r="D74" s="125">
        <f>sumifs('삼성메가 9월 급여'!$G:$G, '삼성메가 9월 급여'!$C:$C, C74, '삼성메가 9월 급여'!$A:$A, A74) + sumifs('삼성메가 9월 급여'!$L:$L,'삼성메가 9월 급여'!$H:$H,C74, '삼성메가 9월 급여'!$A:$A, A74) + sumifs('삼성메가 9월 급여'!$Q:$Q,'삼성메가 9월 급여'!$M:$M,C74, '삼성메가 9월 급여'!$A:$A, A74) + sumifs('삼성메가 9월 급여'!$V:$V,'삼성메가 9월 급여'!$R:$R,C74, '삼성메가 9월 급여'!$A:$A, A74) + sumifs('삼성메가 9월 급여'!$AA:$AA,'삼성메가 9월 급여'!$W:$W,C74, '삼성메가 9월 급여'!$A:$A, A74) + sumifs('삼성메가 9월 급여'!$AF:$AF,'삼성메가 9월 급여'!$AB:$AB,C74, '삼성메가 9월 급여'!$A:$A, A74) + sumifs('삼성메가 9월 급여'!$AK:$AK,'삼성메가 9월 급여'!$AG:$AG,C74, '삼성메가 9월 급여'!$A:$A, A74)</f>
        <v>0</v>
      </c>
      <c r="E74" s="125" t="str">
        <f t="shared" si="13"/>
        <v>X</v>
      </c>
      <c r="F74" s="222">
        <v>10030.0</v>
      </c>
      <c r="G74" s="122">
        <f t="shared" si="17"/>
        <v>0</v>
      </c>
      <c r="H74" s="122">
        <f t="shared" si="19"/>
        <v>0</v>
      </c>
      <c r="I74" s="122">
        <f t="shared" si="4"/>
        <v>0</v>
      </c>
      <c r="J74" s="224"/>
      <c r="K74" s="111"/>
      <c r="L74" s="111"/>
      <c r="M74" s="111"/>
      <c r="N74" s="234"/>
      <c r="O74" s="111"/>
      <c r="P74" s="111"/>
      <c r="Q74" s="111"/>
      <c r="R74" s="111"/>
      <c r="S74" s="111"/>
      <c r="T74" s="111"/>
      <c r="U74" s="111"/>
      <c r="V74" s="111"/>
    </row>
    <row r="75">
      <c r="A75" s="147" t="s">
        <v>84</v>
      </c>
      <c r="B75" s="19">
        <v>10.0</v>
      </c>
      <c r="C75" s="116" t="s">
        <v>50</v>
      </c>
      <c r="D75" s="125">
        <f>sumifs('삼성메가 9월 급여'!$G:$G, '삼성메가 9월 급여'!$C:$C, C75, '삼성메가 9월 급여'!$A:$A, A75) + sumifs('삼성메가 9월 급여'!$L:$L,'삼성메가 9월 급여'!$H:$H,C75, '삼성메가 9월 급여'!$A:$A, A75) + sumifs('삼성메가 9월 급여'!$Q:$Q,'삼성메가 9월 급여'!$M:$M,C75, '삼성메가 9월 급여'!$A:$A, A75) + sumifs('삼성메가 9월 급여'!$V:$V,'삼성메가 9월 급여'!$R:$R,C75, '삼성메가 9월 급여'!$A:$A, A75) + sumifs('삼성메가 9월 급여'!$AA:$AA,'삼성메가 9월 급여'!$W:$W,C75, '삼성메가 9월 급여'!$A:$A, A75) + sumifs('삼성메가 9월 급여'!$AF:$AF,'삼성메가 9월 급여'!$AB:$AB,C75, '삼성메가 9월 급여'!$A:$A, A75) + sumifs('삼성메가 9월 급여'!$AK:$AK,'삼성메가 9월 급여'!$AG:$AG,C75, '삼성메가 9월 급여'!$A:$A, A75)</f>
        <v>0</v>
      </c>
      <c r="E75" s="125" t="str">
        <f t="shared" si="13"/>
        <v>X</v>
      </c>
      <c r="F75" s="222">
        <v>10030.0</v>
      </c>
      <c r="G75" s="122">
        <f t="shared" si="17"/>
        <v>0</v>
      </c>
      <c r="H75" s="122">
        <f t="shared" si="19"/>
        <v>0</v>
      </c>
      <c r="I75" s="122">
        <f t="shared" si="4"/>
        <v>0</v>
      </c>
      <c r="J75" s="224"/>
      <c r="K75" s="111"/>
      <c r="L75" s="111"/>
      <c r="M75" s="111"/>
      <c r="N75" s="234"/>
      <c r="O75" s="111"/>
      <c r="P75" s="111"/>
      <c r="Q75" s="111"/>
      <c r="R75" s="111"/>
      <c r="S75" s="111"/>
      <c r="T75" s="111"/>
      <c r="U75" s="111"/>
      <c r="V75" s="111"/>
    </row>
    <row r="76">
      <c r="A76" s="147" t="s">
        <v>84</v>
      </c>
      <c r="B76" s="19">
        <v>11.0</v>
      </c>
      <c r="C76" s="116"/>
      <c r="D76" s="125">
        <f>sumifs('삼성메가 9월 급여'!$G:$G, '삼성메가 9월 급여'!$C:$C, C76, '삼성메가 9월 급여'!$A:$A, A76) + sumifs('삼성메가 9월 급여'!$L:$L,'삼성메가 9월 급여'!$H:$H,C76, '삼성메가 9월 급여'!$A:$A, A76) + sumifs('삼성메가 9월 급여'!$Q:$Q,'삼성메가 9월 급여'!$M:$M,C76, '삼성메가 9월 급여'!$A:$A, A76) + sumifs('삼성메가 9월 급여'!$V:$V,'삼성메가 9월 급여'!$R:$R,C76, '삼성메가 9월 급여'!$A:$A, A76) + sumifs('삼성메가 9월 급여'!$AA:$AA,'삼성메가 9월 급여'!$W:$W,C76, '삼성메가 9월 급여'!$A:$A, A76) + sumifs('삼성메가 9월 급여'!$AF:$AF,'삼성메가 9월 급여'!$AB:$AB,C76, '삼성메가 9월 급여'!$A:$A, A76) + sumifs('삼성메가 9월 급여'!$AK:$AK,'삼성메가 9월 급여'!$AG:$AG,C76, '삼성메가 9월 급여'!$A:$A, A76)</f>
        <v>0</v>
      </c>
      <c r="E76" s="125" t="str">
        <f t="shared" si="13"/>
        <v>X</v>
      </c>
      <c r="F76" s="222">
        <v>10030.0</v>
      </c>
      <c r="G76" s="122">
        <f t="shared" si="17"/>
        <v>0</v>
      </c>
      <c r="H76" s="122">
        <f t="shared" si="19"/>
        <v>0</v>
      </c>
      <c r="I76" s="122">
        <f t="shared" si="4"/>
        <v>0</v>
      </c>
      <c r="J76" s="224"/>
      <c r="K76" s="111"/>
      <c r="L76" s="111"/>
      <c r="M76" s="111"/>
      <c r="N76" s="234"/>
      <c r="O76" s="111"/>
      <c r="P76" s="111"/>
      <c r="Q76" s="111"/>
      <c r="R76" s="111"/>
      <c r="S76" s="111"/>
      <c r="T76" s="111"/>
      <c r="U76" s="111"/>
      <c r="V76" s="111"/>
    </row>
    <row r="77">
      <c r="A77" s="147" t="s">
        <v>84</v>
      </c>
      <c r="B77" s="19">
        <v>12.0</v>
      </c>
      <c r="C77" s="116"/>
      <c r="D77" s="125">
        <f>sumifs('삼성메가 9월 급여'!$G:$G, '삼성메가 9월 급여'!$C:$C, C77, '삼성메가 9월 급여'!$A:$A, A77) + sumifs('삼성메가 9월 급여'!$L:$L,'삼성메가 9월 급여'!$H:$H,C77, '삼성메가 9월 급여'!$A:$A, A77) + sumifs('삼성메가 9월 급여'!$Q:$Q,'삼성메가 9월 급여'!$M:$M,C77, '삼성메가 9월 급여'!$A:$A, A77) + sumifs('삼성메가 9월 급여'!$V:$V,'삼성메가 9월 급여'!$R:$R,C77, '삼성메가 9월 급여'!$A:$A, A77) + sumifs('삼성메가 9월 급여'!$AA:$AA,'삼성메가 9월 급여'!$W:$W,C77, '삼성메가 9월 급여'!$A:$A, A77) + sumifs('삼성메가 9월 급여'!$AF:$AF,'삼성메가 9월 급여'!$AB:$AB,C77, '삼성메가 9월 급여'!$A:$A, A77) + sumifs('삼성메가 9월 급여'!$AK:$AK,'삼성메가 9월 급여'!$AG:$AG,C77, '삼성메가 9월 급여'!$A:$A, A77)</f>
        <v>0</v>
      </c>
      <c r="E77" s="125" t="str">
        <f t="shared" si="13"/>
        <v>X</v>
      </c>
      <c r="F77" s="222">
        <v>10030.0</v>
      </c>
      <c r="G77" s="122">
        <f t="shared" si="17"/>
        <v>0</v>
      </c>
      <c r="H77" s="122">
        <f t="shared" si="19"/>
        <v>0</v>
      </c>
      <c r="I77" s="122">
        <f t="shared" si="4"/>
        <v>0</v>
      </c>
      <c r="J77" s="224"/>
      <c r="K77" s="111"/>
      <c r="L77" s="111"/>
      <c r="M77" s="111"/>
      <c r="N77" s="234"/>
      <c r="O77" s="111"/>
      <c r="P77" s="111"/>
      <c r="Q77" s="111"/>
      <c r="R77" s="111"/>
      <c r="S77" s="111"/>
      <c r="T77" s="111"/>
      <c r="U77" s="111"/>
      <c r="V77" s="111"/>
    </row>
    <row r="78">
      <c r="A78" s="147" t="s">
        <v>84</v>
      </c>
      <c r="B78" s="19">
        <v>13.0</v>
      </c>
      <c r="C78" s="116"/>
      <c r="D78" s="125">
        <f>sumifs('삼성메가 9월 급여'!$G:$G, '삼성메가 9월 급여'!$C:$C, C78, '삼성메가 9월 급여'!$A:$A, A78) + sumifs('삼성메가 9월 급여'!$L:$L,'삼성메가 9월 급여'!$H:$H,C78, '삼성메가 9월 급여'!$A:$A, A78) + sumifs('삼성메가 9월 급여'!$Q:$Q,'삼성메가 9월 급여'!$M:$M,C78, '삼성메가 9월 급여'!$A:$A, A78) + sumifs('삼성메가 9월 급여'!$V:$V,'삼성메가 9월 급여'!$R:$R,C78, '삼성메가 9월 급여'!$A:$A, A78) + sumifs('삼성메가 9월 급여'!$AA:$AA,'삼성메가 9월 급여'!$W:$W,C78, '삼성메가 9월 급여'!$A:$A, A78) + sumifs('삼성메가 9월 급여'!$AF:$AF,'삼성메가 9월 급여'!$AB:$AB,C78, '삼성메가 9월 급여'!$A:$A, A78) + sumifs('삼성메가 9월 급여'!$AK:$AK,'삼성메가 9월 급여'!$AG:$AG,C78, '삼성메가 9월 급여'!$A:$A, A78)</f>
        <v>0</v>
      </c>
      <c r="E78" s="125" t="str">
        <f t="shared" si="13"/>
        <v>X</v>
      </c>
      <c r="F78" s="222">
        <v>10030.0</v>
      </c>
      <c r="G78" s="122">
        <f t="shared" si="17"/>
        <v>0</v>
      </c>
      <c r="H78" s="122">
        <f t="shared" si="19"/>
        <v>0</v>
      </c>
      <c r="I78" s="122">
        <f t="shared" si="4"/>
        <v>0</v>
      </c>
      <c r="J78" s="224"/>
      <c r="K78" s="111"/>
      <c r="L78" s="111"/>
      <c r="M78" s="111"/>
      <c r="N78" s="234"/>
      <c r="O78" s="111"/>
      <c r="P78" s="111"/>
      <c r="Q78" s="111"/>
      <c r="R78" s="111"/>
      <c r="S78" s="111"/>
      <c r="T78" s="111"/>
      <c r="U78" s="111"/>
      <c r="V78" s="111"/>
    </row>
    <row r="79">
      <c r="A79" s="147" t="s">
        <v>84</v>
      </c>
      <c r="B79" s="19">
        <v>14.0</v>
      </c>
      <c r="C79" s="126"/>
      <c r="D79" s="125">
        <f>sumifs('삼성메가 9월 급여'!$G:$G, '삼성메가 9월 급여'!$C:$C, C79, '삼성메가 9월 급여'!$A:$A, A79) + sumifs('삼성메가 9월 급여'!$L:$L,'삼성메가 9월 급여'!$H:$H,C79, '삼성메가 9월 급여'!$A:$A, A79) + sumifs('삼성메가 9월 급여'!$Q:$Q,'삼성메가 9월 급여'!$M:$M,C79, '삼성메가 9월 급여'!$A:$A, A79) + sumifs('삼성메가 9월 급여'!$V:$V,'삼성메가 9월 급여'!$R:$R,C79, '삼성메가 9월 급여'!$A:$A, A79) + sumifs('삼성메가 9월 급여'!$AA:$AA,'삼성메가 9월 급여'!$W:$W,C79, '삼성메가 9월 급여'!$A:$A, A79) + sumifs('삼성메가 9월 급여'!$AF:$AF,'삼성메가 9월 급여'!$AB:$AB,C79, '삼성메가 9월 급여'!$A:$A, A79) + sumifs('삼성메가 9월 급여'!$AK:$AK,'삼성메가 9월 급여'!$AG:$AG,C79, '삼성메가 9월 급여'!$A:$A, A79)</f>
        <v>0</v>
      </c>
      <c r="E79" s="125" t="str">
        <f t="shared" si="13"/>
        <v>X</v>
      </c>
      <c r="F79" s="222">
        <v>10030.0</v>
      </c>
      <c r="G79" s="122">
        <f t="shared" si="17"/>
        <v>0</v>
      </c>
      <c r="H79" s="122">
        <f t="shared" si="19"/>
        <v>0</v>
      </c>
      <c r="I79" s="122">
        <f t="shared" si="4"/>
        <v>0</v>
      </c>
      <c r="J79" s="224"/>
      <c r="K79" s="111"/>
      <c r="L79" s="111"/>
      <c r="M79" s="111"/>
      <c r="N79" s="234"/>
      <c r="O79" s="111"/>
      <c r="P79" s="111"/>
      <c r="Q79" s="111"/>
      <c r="R79" s="111"/>
      <c r="S79" s="111"/>
      <c r="T79" s="111"/>
      <c r="U79" s="111"/>
      <c r="V79" s="111"/>
    </row>
    <row r="80">
      <c r="A80" s="147" t="s">
        <v>84</v>
      </c>
      <c r="B80" s="19">
        <v>15.0</v>
      </c>
      <c r="C80" s="126"/>
      <c r="D80" s="125">
        <f>sumifs('삼성메가 9월 급여'!$G:$G, '삼성메가 9월 급여'!$C:$C, C80, '삼성메가 9월 급여'!$A:$A, A80) + sumifs('삼성메가 9월 급여'!$L:$L,'삼성메가 9월 급여'!$H:$H,C80, '삼성메가 9월 급여'!$A:$A, A80) + sumifs('삼성메가 9월 급여'!$Q:$Q,'삼성메가 9월 급여'!$M:$M,C80, '삼성메가 9월 급여'!$A:$A, A80) + sumifs('삼성메가 9월 급여'!$V:$V,'삼성메가 9월 급여'!$R:$R,C80, '삼성메가 9월 급여'!$A:$A, A80) + sumifs('삼성메가 9월 급여'!$AA:$AA,'삼성메가 9월 급여'!$W:$W,C80, '삼성메가 9월 급여'!$A:$A, A80) + sumifs('삼성메가 9월 급여'!$AF:$AF,'삼성메가 9월 급여'!$AB:$AB,C80, '삼성메가 9월 급여'!$A:$A, A80) + sumifs('삼성메가 9월 급여'!$AK:$AK,'삼성메가 9월 급여'!$AG:$AG,C80, '삼성메가 9월 급여'!$A:$A, A80)</f>
        <v>0</v>
      </c>
      <c r="E80" s="125" t="str">
        <f t="shared" si="13"/>
        <v>X</v>
      </c>
      <c r="F80" s="222">
        <v>10030.0</v>
      </c>
      <c r="G80" s="122">
        <f t="shared" si="17"/>
        <v>0</v>
      </c>
      <c r="H80" s="122">
        <f t="shared" si="19"/>
        <v>0</v>
      </c>
      <c r="I80" s="122">
        <f t="shared" si="4"/>
        <v>0</v>
      </c>
      <c r="J80" s="224"/>
      <c r="K80" s="111"/>
      <c r="L80" s="111"/>
      <c r="M80" s="111"/>
      <c r="N80" s="234"/>
      <c r="O80" s="111"/>
      <c r="P80" s="111"/>
      <c r="Q80" s="111"/>
      <c r="R80" s="111"/>
      <c r="S80" s="111"/>
      <c r="T80" s="111"/>
      <c r="U80" s="111"/>
      <c r="V80" s="111"/>
    </row>
    <row r="81">
      <c r="A81" s="147" t="s">
        <v>84</v>
      </c>
      <c r="B81" s="19">
        <v>16.0</v>
      </c>
      <c r="C81" s="30"/>
      <c r="D81" s="125">
        <f>sumifs('삼성메가 9월 급여'!$G:$G, '삼성메가 9월 급여'!$C:$C, C81, '삼성메가 9월 급여'!$A:$A, A81) + sumifs('삼성메가 9월 급여'!$L:$L,'삼성메가 9월 급여'!$H:$H,C81, '삼성메가 9월 급여'!$A:$A, A81) + sumifs('삼성메가 9월 급여'!$Q:$Q,'삼성메가 9월 급여'!$M:$M,C81, '삼성메가 9월 급여'!$A:$A, A81) + sumifs('삼성메가 9월 급여'!$V:$V,'삼성메가 9월 급여'!$R:$R,C81, '삼성메가 9월 급여'!$A:$A, A81) + sumifs('삼성메가 9월 급여'!$AA:$AA,'삼성메가 9월 급여'!$W:$W,C81, '삼성메가 9월 급여'!$A:$A, A81) + sumifs('삼성메가 9월 급여'!$AF:$AF,'삼성메가 9월 급여'!$AB:$AB,C81, '삼성메가 9월 급여'!$A:$A, A81) + sumifs('삼성메가 9월 급여'!$AK:$AK,'삼성메가 9월 급여'!$AG:$AG,C81, '삼성메가 9월 급여'!$A:$A, A81)</f>
        <v>0</v>
      </c>
      <c r="E81" s="125" t="str">
        <f t="shared" si="13"/>
        <v>X</v>
      </c>
      <c r="F81" s="222">
        <v>10030.0</v>
      </c>
      <c r="G81" s="122">
        <f t="shared" si="17"/>
        <v>0</v>
      </c>
      <c r="H81" s="122">
        <f t="shared" si="19"/>
        <v>0</v>
      </c>
      <c r="I81" s="122">
        <f t="shared" si="4"/>
        <v>0</v>
      </c>
      <c r="J81" s="224"/>
      <c r="K81" s="111"/>
      <c r="L81" s="111"/>
      <c r="M81" s="111"/>
      <c r="N81" s="234"/>
      <c r="O81" s="111"/>
      <c r="P81" s="111"/>
      <c r="Q81" s="111"/>
      <c r="R81" s="111"/>
      <c r="S81" s="111"/>
      <c r="T81" s="111"/>
      <c r="U81" s="111"/>
      <c r="V81" s="111"/>
    </row>
    <row r="82">
      <c r="A82" s="151" t="s">
        <v>85</v>
      </c>
      <c r="B82" s="19">
        <v>1.0</v>
      </c>
      <c r="C82" s="30" t="s">
        <v>16</v>
      </c>
      <c r="D82" s="125">
        <f>sumifs('삼성메가 9월 급여'!$G:$G, '삼성메가 9월 급여'!$C:$C, C82, '삼성메가 9월 급여'!$A:$A, A82) + sumifs('삼성메가 9월 급여'!$L:$L,'삼성메가 9월 급여'!$H:$H,C82, '삼성메가 9월 급여'!$A:$A, A82) + sumifs('삼성메가 9월 급여'!$Q:$Q,'삼성메가 9월 급여'!$M:$M,C82, '삼성메가 9월 급여'!$A:$A, A82) + sumifs('삼성메가 9월 급여'!$V:$V,'삼성메가 9월 급여'!$R:$R,C82, '삼성메가 9월 급여'!$A:$A, A82) + sumifs('삼성메가 9월 급여'!$AA:$AA,'삼성메가 9월 급여'!$W:$W,C82, '삼성메가 9월 급여'!$A:$A, A82) + sumifs('삼성메가 9월 급여'!$AF:$AF,'삼성메가 9월 급여'!$AB:$AB,C82, '삼성메가 9월 급여'!$A:$A, A82) + sumifs('삼성메가 9월 급여'!$AK:$AK,'삼성메가 9월 급여'!$AG:$AG,C82, '삼성메가 9월 급여'!$A:$A, A82)</f>
        <v>0</v>
      </c>
      <c r="E82" s="125" t="str">
        <f t="shared" si="13"/>
        <v>X</v>
      </c>
      <c r="F82" s="222">
        <v>10030.0</v>
      </c>
      <c r="G82" s="122">
        <f t="shared" si="17"/>
        <v>0</v>
      </c>
      <c r="H82" s="122">
        <f t="shared" si="19"/>
        <v>0</v>
      </c>
      <c r="I82" s="122">
        <f t="shared" si="4"/>
        <v>0</v>
      </c>
      <c r="J82" s="127"/>
      <c r="K82" s="111"/>
      <c r="L82" s="111"/>
      <c r="M82" s="111"/>
      <c r="N82" s="234"/>
      <c r="O82" s="111"/>
      <c r="P82" s="111"/>
      <c r="Q82" s="111"/>
      <c r="R82" s="111"/>
      <c r="S82" s="111"/>
      <c r="T82" s="111"/>
      <c r="U82" s="111"/>
      <c r="V82" s="111"/>
    </row>
    <row r="83">
      <c r="A83" s="151" t="s">
        <v>85</v>
      </c>
      <c r="B83" s="19">
        <v>2.0</v>
      </c>
      <c r="C83" s="30" t="s">
        <v>110</v>
      </c>
      <c r="D83" s="125">
        <f>sumifs('삼성메가 9월 급여'!$G:$G, '삼성메가 9월 급여'!$C:$C, C83, '삼성메가 9월 급여'!$A:$A, A83) + sumifs('삼성메가 9월 급여'!$L:$L,'삼성메가 9월 급여'!$H:$H,C83, '삼성메가 9월 급여'!$A:$A, A83) + sumifs('삼성메가 9월 급여'!$Q:$Q,'삼성메가 9월 급여'!$M:$M,C83, '삼성메가 9월 급여'!$A:$A, A83) + sumifs('삼성메가 9월 급여'!$V:$V,'삼성메가 9월 급여'!$R:$R,C83, '삼성메가 9월 급여'!$A:$A, A83) + sumifs('삼성메가 9월 급여'!$AA:$AA,'삼성메가 9월 급여'!$W:$W,C83, '삼성메가 9월 급여'!$A:$A, A83) + sumifs('삼성메가 9월 급여'!$AF:$AF,'삼성메가 9월 급여'!$AB:$AB,C83, '삼성메가 9월 급여'!$A:$A, A83) + sumifs('삼성메가 9월 급여'!$AK:$AK,'삼성메가 9월 급여'!$AG:$AG,C83, '삼성메가 9월 급여'!$A:$A, A83)</f>
        <v>0</v>
      </c>
      <c r="E83" s="125" t="str">
        <f t="shared" si="13"/>
        <v>X</v>
      </c>
      <c r="F83" s="222">
        <v>11030.0</v>
      </c>
      <c r="G83" s="122">
        <f t="shared" si="17"/>
        <v>0</v>
      </c>
      <c r="H83" s="122">
        <f t="shared" si="19"/>
        <v>0</v>
      </c>
      <c r="I83" s="122">
        <f t="shared" si="4"/>
        <v>0</v>
      </c>
      <c r="J83" s="127"/>
      <c r="K83" s="111"/>
      <c r="L83" s="111"/>
      <c r="M83" s="111"/>
      <c r="N83" s="234"/>
      <c r="O83" s="111"/>
      <c r="P83" s="111"/>
      <c r="Q83" s="111"/>
      <c r="R83" s="111"/>
      <c r="S83" s="111"/>
      <c r="T83" s="111"/>
      <c r="U83" s="111"/>
      <c r="V83" s="111"/>
    </row>
    <row r="84">
      <c r="A84" s="151" t="s">
        <v>85</v>
      </c>
      <c r="B84" s="19">
        <v>3.0</v>
      </c>
      <c r="C84" s="30" t="s">
        <v>113</v>
      </c>
      <c r="D84" s="125">
        <f>sumifs('삼성메가 9월 급여'!$G:$G, '삼성메가 9월 급여'!$C:$C, C84, '삼성메가 9월 급여'!$A:$A, A84) + sumifs('삼성메가 9월 급여'!$L:$L,'삼성메가 9월 급여'!$H:$H,C84, '삼성메가 9월 급여'!$A:$A, A84) + sumifs('삼성메가 9월 급여'!$Q:$Q,'삼성메가 9월 급여'!$M:$M,C84, '삼성메가 9월 급여'!$A:$A, A84) + sumifs('삼성메가 9월 급여'!$V:$V,'삼성메가 9월 급여'!$R:$R,C84, '삼성메가 9월 급여'!$A:$A, A84) + sumifs('삼성메가 9월 급여'!$AA:$AA,'삼성메가 9월 급여'!$W:$W,C84, '삼성메가 9월 급여'!$A:$A, A84) + sumifs('삼성메가 9월 급여'!$AF:$AF,'삼성메가 9월 급여'!$AB:$AB,C84, '삼성메가 9월 급여'!$A:$A, A84) + sumifs('삼성메가 9월 급여'!$AK:$AK,'삼성메가 9월 급여'!$AG:$AG,C84, '삼성메가 9월 급여'!$A:$A, A84)</f>
        <v>0</v>
      </c>
      <c r="E84" s="125" t="str">
        <f t="shared" si="13"/>
        <v>X</v>
      </c>
      <c r="F84" s="222">
        <v>11030.0</v>
      </c>
      <c r="G84" s="122">
        <f t="shared" si="17"/>
        <v>0</v>
      </c>
      <c r="H84" s="122">
        <f t="shared" si="19"/>
        <v>0</v>
      </c>
      <c r="I84" s="122">
        <f t="shared" si="4"/>
        <v>0</v>
      </c>
      <c r="J84" s="127"/>
      <c r="K84" s="111"/>
      <c r="L84" s="111"/>
      <c r="M84" s="111"/>
      <c r="N84" s="234"/>
      <c r="O84" s="111"/>
      <c r="P84" s="111"/>
      <c r="Q84" s="111"/>
      <c r="R84" s="111"/>
      <c r="S84" s="111"/>
      <c r="T84" s="111"/>
      <c r="U84" s="111"/>
      <c r="V84" s="111"/>
    </row>
    <row r="85">
      <c r="A85" s="151" t="s">
        <v>85</v>
      </c>
      <c r="B85" s="19">
        <v>4.0</v>
      </c>
      <c r="C85" s="30" t="s">
        <v>117</v>
      </c>
      <c r="D85" s="125">
        <f>sumifs('삼성메가 9월 급여'!$G:$G, '삼성메가 9월 급여'!$C:$C, C85, '삼성메가 9월 급여'!$A:$A, A85) + sumifs('삼성메가 9월 급여'!$L:$L,'삼성메가 9월 급여'!$H:$H,C85, '삼성메가 9월 급여'!$A:$A, A85) + sumifs('삼성메가 9월 급여'!$Q:$Q,'삼성메가 9월 급여'!$M:$M,C85, '삼성메가 9월 급여'!$A:$A, A85) + sumifs('삼성메가 9월 급여'!$V:$V,'삼성메가 9월 급여'!$R:$R,C85, '삼성메가 9월 급여'!$A:$A, A85) + sumifs('삼성메가 9월 급여'!$AA:$AA,'삼성메가 9월 급여'!$W:$W,C85, '삼성메가 9월 급여'!$A:$A, A85) + sumifs('삼성메가 9월 급여'!$AF:$AF,'삼성메가 9월 급여'!$AB:$AB,C85, '삼성메가 9월 급여'!$A:$A, A85) + sumifs('삼성메가 9월 급여'!$AK:$AK,'삼성메가 9월 급여'!$AG:$AG,C85, '삼성메가 9월 급여'!$A:$A, A85)</f>
        <v>0</v>
      </c>
      <c r="E85" s="125" t="str">
        <f t="shared" si="13"/>
        <v>X</v>
      </c>
      <c r="F85" s="222">
        <v>10030.0</v>
      </c>
      <c r="G85" s="122">
        <f t="shared" si="17"/>
        <v>0</v>
      </c>
      <c r="H85" s="122">
        <f t="shared" si="19"/>
        <v>0</v>
      </c>
      <c r="I85" s="122">
        <f t="shared" si="4"/>
        <v>0</v>
      </c>
      <c r="J85" s="114"/>
      <c r="K85" s="111"/>
      <c r="L85" s="111"/>
      <c r="M85" s="111"/>
      <c r="N85" s="234"/>
      <c r="O85" s="111"/>
      <c r="P85" s="111"/>
      <c r="Q85" s="111"/>
      <c r="R85" s="111"/>
      <c r="S85" s="111"/>
      <c r="T85" s="111"/>
      <c r="U85" s="111"/>
      <c r="V85" s="111"/>
    </row>
    <row r="86">
      <c r="A86" s="151" t="s">
        <v>85</v>
      </c>
      <c r="B86" s="19">
        <v>5.0</v>
      </c>
      <c r="C86" s="163" t="s">
        <v>121</v>
      </c>
      <c r="D86" s="125">
        <f>sumifs('삼성메가 9월 급여'!$G:$G, '삼성메가 9월 급여'!$C:$C, C86, '삼성메가 9월 급여'!$A:$A, A86) + sumifs('삼성메가 9월 급여'!$L:$L,'삼성메가 9월 급여'!$H:$H,C86, '삼성메가 9월 급여'!$A:$A, A86) + sumifs('삼성메가 9월 급여'!$Q:$Q,'삼성메가 9월 급여'!$M:$M,C86, '삼성메가 9월 급여'!$A:$A, A86) + sumifs('삼성메가 9월 급여'!$V:$V,'삼성메가 9월 급여'!$R:$R,C86, '삼성메가 9월 급여'!$A:$A, A86) + sumifs('삼성메가 9월 급여'!$AA:$AA,'삼성메가 9월 급여'!$W:$W,C86, '삼성메가 9월 급여'!$A:$A, A86) + sumifs('삼성메가 9월 급여'!$AF:$AF,'삼성메가 9월 급여'!$AB:$AB,C86, '삼성메가 9월 급여'!$A:$A, A86) + sumifs('삼성메가 9월 급여'!$AK:$AK,'삼성메가 9월 급여'!$AG:$AG,C86, '삼성메가 9월 급여'!$A:$A, A86)</f>
        <v>0</v>
      </c>
      <c r="E86" s="125" t="str">
        <f t="shared" si="13"/>
        <v>X</v>
      </c>
      <c r="F86" s="222">
        <v>11030.0</v>
      </c>
      <c r="G86" s="122">
        <f t="shared" si="17"/>
        <v>0</v>
      </c>
      <c r="H86" s="122">
        <f t="shared" si="19"/>
        <v>0</v>
      </c>
      <c r="I86" s="122">
        <f t="shared" si="4"/>
        <v>0</v>
      </c>
      <c r="J86" s="127"/>
      <c r="K86" s="111"/>
      <c r="L86" s="111"/>
      <c r="M86" s="111"/>
      <c r="N86" s="234"/>
      <c r="O86" s="111"/>
      <c r="P86" s="111"/>
      <c r="Q86" s="111"/>
      <c r="R86" s="111"/>
      <c r="S86" s="111"/>
      <c r="T86" s="111"/>
      <c r="U86" s="111"/>
      <c r="V86" s="111"/>
    </row>
    <row r="87">
      <c r="A87" s="151" t="s">
        <v>85</v>
      </c>
      <c r="B87" s="19">
        <v>6.0</v>
      </c>
      <c r="C87" s="116" t="s">
        <v>125</v>
      </c>
      <c r="D87" s="125">
        <f>sumifs('삼성메가 9월 급여'!$G:$G, '삼성메가 9월 급여'!$C:$C, C87, '삼성메가 9월 급여'!$A:$A, A87) + sumifs('삼성메가 9월 급여'!$L:$L,'삼성메가 9월 급여'!$H:$H,C87, '삼성메가 9월 급여'!$A:$A, A87) + sumifs('삼성메가 9월 급여'!$Q:$Q,'삼성메가 9월 급여'!$M:$M,C87, '삼성메가 9월 급여'!$A:$A, A87) + sumifs('삼성메가 9월 급여'!$V:$V,'삼성메가 9월 급여'!$R:$R,C87, '삼성메가 9월 급여'!$A:$A, A87) + sumifs('삼성메가 9월 급여'!$AA:$AA,'삼성메가 9월 급여'!$W:$W,C87, '삼성메가 9월 급여'!$A:$A, A87) + sumifs('삼성메가 9월 급여'!$AF:$AF,'삼성메가 9월 급여'!$AB:$AB,C87, '삼성메가 9월 급여'!$A:$A, A87) + sumifs('삼성메가 9월 급여'!$AK:$AK,'삼성메가 9월 급여'!$AG:$AG,C87, '삼성메가 9월 급여'!$A:$A, A87)</f>
        <v>0</v>
      </c>
      <c r="E87" s="125" t="str">
        <f t="shared" si="13"/>
        <v>X</v>
      </c>
      <c r="F87" s="222">
        <v>11030.0</v>
      </c>
      <c r="G87" s="122">
        <f t="shared" si="17"/>
        <v>0</v>
      </c>
      <c r="H87" s="122">
        <f t="shared" si="19"/>
        <v>0</v>
      </c>
      <c r="I87" s="122">
        <f t="shared" si="4"/>
        <v>0</v>
      </c>
      <c r="J87" s="127"/>
      <c r="K87" s="111"/>
      <c r="L87" s="111"/>
      <c r="M87" s="111"/>
      <c r="N87" s="234"/>
      <c r="O87" s="111"/>
      <c r="P87" s="111"/>
      <c r="Q87" s="236"/>
      <c r="R87" s="111"/>
      <c r="S87" s="111"/>
      <c r="T87" s="111"/>
      <c r="U87" s="111"/>
      <c r="V87" s="111"/>
    </row>
    <row r="88">
      <c r="A88" s="151" t="s">
        <v>85</v>
      </c>
      <c r="B88" s="19">
        <v>7.0</v>
      </c>
      <c r="C88" s="30" t="s">
        <v>129</v>
      </c>
      <c r="D88" s="125">
        <f>sumifs('삼성메가 9월 급여'!$G:$G, '삼성메가 9월 급여'!$C:$C, C88, '삼성메가 9월 급여'!$A:$A, A88) + sumifs('삼성메가 9월 급여'!$L:$L,'삼성메가 9월 급여'!$H:$H,C88, '삼성메가 9월 급여'!$A:$A, A88) + sumifs('삼성메가 9월 급여'!$Q:$Q,'삼성메가 9월 급여'!$M:$M,C88, '삼성메가 9월 급여'!$A:$A, A88) + sumifs('삼성메가 9월 급여'!$V:$V,'삼성메가 9월 급여'!$R:$R,C88, '삼성메가 9월 급여'!$A:$A, A88) + sumifs('삼성메가 9월 급여'!$AA:$AA,'삼성메가 9월 급여'!$W:$W,C88, '삼성메가 9월 급여'!$A:$A, A88) + sumifs('삼성메가 9월 급여'!$AF:$AF,'삼성메가 9월 급여'!$AB:$AB,C88, '삼성메가 9월 급여'!$A:$A, A88) + sumifs('삼성메가 9월 급여'!$AK:$AK,'삼성메가 9월 급여'!$AG:$AG,C88, '삼성메가 9월 급여'!$A:$A, A88)</f>
        <v>0</v>
      </c>
      <c r="E88" s="125" t="str">
        <f t="shared" si="13"/>
        <v>X</v>
      </c>
      <c r="F88" s="222">
        <v>11030.0</v>
      </c>
      <c r="G88" s="122">
        <f t="shared" si="17"/>
        <v>0</v>
      </c>
      <c r="H88" s="122">
        <f t="shared" si="19"/>
        <v>0</v>
      </c>
      <c r="I88" s="122">
        <f t="shared" si="4"/>
        <v>0</v>
      </c>
      <c r="J88" s="127"/>
      <c r="K88" s="111"/>
      <c r="L88" s="111"/>
      <c r="M88" s="111"/>
      <c r="N88" s="234"/>
      <c r="O88" s="111"/>
      <c r="P88" s="111"/>
      <c r="Q88" s="236"/>
      <c r="R88" s="111"/>
      <c r="S88" s="111"/>
      <c r="T88" s="111"/>
      <c r="U88" s="111"/>
      <c r="V88" s="111"/>
    </row>
    <row r="89">
      <c r="A89" s="151" t="s">
        <v>85</v>
      </c>
      <c r="B89" s="19">
        <v>8.0</v>
      </c>
      <c r="C89" s="30" t="s">
        <v>133</v>
      </c>
      <c r="D89" s="125">
        <f>sumifs('삼성메가 9월 급여'!$G:$G, '삼성메가 9월 급여'!$C:$C, C89, '삼성메가 9월 급여'!$A:$A, A89) + sumifs('삼성메가 9월 급여'!$L:$L,'삼성메가 9월 급여'!$H:$H,C89, '삼성메가 9월 급여'!$A:$A, A89) + sumifs('삼성메가 9월 급여'!$Q:$Q,'삼성메가 9월 급여'!$M:$M,C89, '삼성메가 9월 급여'!$A:$A, A89) + sumifs('삼성메가 9월 급여'!$V:$V,'삼성메가 9월 급여'!$R:$R,C89, '삼성메가 9월 급여'!$A:$A, A89) + sumifs('삼성메가 9월 급여'!$AA:$AA,'삼성메가 9월 급여'!$W:$W,C89, '삼성메가 9월 급여'!$A:$A, A89) + sumifs('삼성메가 9월 급여'!$AF:$AF,'삼성메가 9월 급여'!$AB:$AB,C89, '삼성메가 9월 급여'!$A:$A, A89) + sumifs('삼성메가 9월 급여'!$AK:$AK,'삼성메가 9월 급여'!$AG:$AG,C89, '삼성메가 9월 급여'!$A:$A, A89)</f>
        <v>0</v>
      </c>
      <c r="E89" s="125" t="str">
        <f t="shared" si="13"/>
        <v>X</v>
      </c>
      <c r="F89" s="222">
        <v>11030.0</v>
      </c>
      <c r="G89" s="122">
        <f t="shared" si="17"/>
        <v>0</v>
      </c>
      <c r="H89" s="122">
        <f t="shared" si="19"/>
        <v>0</v>
      </c>
      <c r="I89" s="122">
        <f t="shared" si="4"/>
        <v>0</v>
      </c>
      <c r="J89" s="114"/>
      <c r="K89" s="111"/>
      <c r="L89" s="111"/>
      <c r="M89" s="111"/>
      <c r="N89" s="234"/>
      <c r="O89" s="111"/>
      <c r="P89" s="111"/>
      <c r="Q89" s="111"/>
      <c r="R89" s="111"/>
      <c r="S89" s="111"/>
      <c r="T89" s="111"/>
      <c r="U89" s="111"/>
      <c r="V89" s="111"/>
    </row>
    <row r="90">
      <c r="A90" s="151" t="s">
        <v>85</v>
      </c>
      <c r="B90" s="19">
        <v>9.0</v>
      </c>
      <c r="C90" s="30" t="s">
        <v>80</v>
      </c>
      <c r="D90" s="125">
        <f>sumifs('삼성메가 9월 급여'!$G:$G, '삼성메가 9월 급여'!$C:$C, C90, '삼성메가 9월 급여'!$A:$A, A90) + sumifs('삼성메가 9월 급여'!$L:$L,'삼성메가 9월 급여'!$H:$H,C90, '삼성메가 9월 급여'!$A:$A, A90) + sumifs('삼성메가 9월 급여'!$Q:$Q,'삼성메가 9월 급여'!$M:$M,C90, '삼성메가 9월 급여'!$A:$A, A90) + sumifs('삼성메가 9월 급여'!$V:$V,'삼성메가 9월 급여'!$R:$R,C90, '삼성메가 9월 급여'!$A:$A, A90) + sumifs('삼성메가 9월 급여'!$AA:$AA,'삼성메가 9월 급여'!$W:$W,C90, '삼성메가 9월 급여'!$A:$A, A90) + sumifs('삼성메가 9월 급여'!$AF:$AF,'삼성메가 9월 급여'!$AB:$AB,C90, '삼성메가 9월 급여'!$A:$A, A90) + sumifs('삼성메가 9월 급여'!$AK:$AK,'삼성메가 9월 급여'!$AG:$AG,C90, '삼성메가 9월 급여'!$A:$A, A90)</f>
        <v>0</v>
      </c>
      <c r="E90" s="125" t="str">
        <f t="shared" si="13"/>
        <v>X</v>
      </c>
      <c r="F90" s="222">
        <v>10030.0</v>
      </c>
      <c r="G90" s="122">
        <f t="shared" si="17"/>
        <v>0</v>
      </c>
      <c r="H90" s="122">
        <f t="shared" si="19"/>
        <v>0</v>
      </c>
      <c r="I90" s="122">
        <f t="shared" si="4"/>
        <v>0</v>
      </c>
      <c r="J90" s="127"/>
      <c r="K90" s="111"/>
      <c r="L90" s="111"/>
      <c r="M90" s="111"/>
      <c r="N90" s="234"/>
      <c r="O90" s="111"/>
      <c r="P90" s="111"/>
      <c r="Q90" s="111"/>
      <c r="R90" s="111"/>
      <c r="S90" s="111"/>
      <c r="T90" s="111"/>
      <c r="U90" s="111"/>
      <c r="V90" s="111"/>
    </row>
    <row r="91">
      <c r="A91" s="151" t="s">
        <v>85</v>
      </c>
      <c r="B91" s="19">
        <v>10.0</v>
      </c>
      <c r="C91" s="116" t="s">
        <v>50</v>
      </c>
      <c r="D91" s="125">
        <f>sumifs('삼성메가 9월 급여'!$G:$G, '삼성메가 9월 급여'!$C:$C, C91, '삼성메가 9월 급여'!$A:$A, A91) + sumifs('삼성메가 9월 급여'!$L:$L,'삼성메가 9월 급여'!$H:$H,C91, '삼성메가 9월 급여'!$A:$A, A91) + sumifs('삼성메가 9월 급여'!$Q:$Q,'삼성메가 9월 급여'!$M:$M,C91, '삼성메가 9월 급여'!$A:$A, A91) + sumifs('삼성메가 9월 급여'!$V:$V,'삼성메가 9월 급여'!$R:$R,C91, '삼성메가 9월 급여'!$A:$A, A91) + sumifs('삼성메가 9월 급여'!$AA:$AA,'삼성메가 9월 급여'!$W:$W,C91, '삼성메가 9월 급여'!$A:$A, A91) + sumifs('삼성메가 9월 급여'!$AF:$AF,'삼성메가 9월 급여'!$AB:$AB,C91, '삼성메가 9월 급여'!$A:$A, A91) + sumifs('삼성메가 9월 급여'!$AK:$AK,'삼성메가 9월 급여'!$AG:$AG,C91, '삼성메가 9월 급여'!$A:$A, A91)</f>
        <v>0</v>
      </c>
      <c r="E91" s="125" t="str">
        <f t="shared" si="13"/>
        <v>X</v>
      </c>
      <c r="F91" s="222">
        <v>10030.0</v>
      </c>
      <c r="G91" s="122">
        <f t="shared" si="17"/>
        <v>0</v>
      </c>
      <c r="H91" s="122">
        <f t="shared" si="19"/>
        <v>0</v>
      </c>
      <c r="I91" s="122">
        <f t="shared" si="4"/>
        <v>0</v>
      </c>
      <c r="J91" s="127"/>
      <c r="K91" s="111"/>
      <c r="L91" s="111"/>
      <c r="M91" s="111"/>
      <c r="N91" s="234"/>
      <c r="O91" s="111"/>
      <c r="P91" s="111"/>
      <c r="Q91" s="111"/>
      <c r="R91" s="111"/>
      <c r="S91" s="111"/>
      <c r="T91" s="111"/>
      <c r="U91" s="111"/>
      <c r="V91" s="111"/>
    </row>
    <row r="92">
      <c r="A92" s="151" t="s">
        <v>85</v>
      </c>
      <c r="B92" s="19">
        <v>11.0</v>
      </c>
      <c r="C92" s="116"/>
      <c r="D92" s="125">
        <f>sumifs('삼성메가 9월 급여'!$G:$G, '삼성메가 9월 급여'!$C:$C, C92, '삼성메가 9월 급여'!$A:$A, A92) + sumifs('삼성메가 9월 급여'!$L:$L,'삼성메가 9월 급여'!$H:$H,C92, '삼성메가 9월 급여'!$A:$A, A92) + sumifs('삼성메가 9월 급여'!$Q:$Q,'삼성메가 9월 급여'!$M:$M,C92, '삼성메가 9월 급여'!$A:$A, A92) + sumifs('삼성메가 9월 급여'!$V:$V,'삼성메가 9월 급여'!$R:$R,C92, '삼성메가 9월 급여'!$A:$A, A92) + sumifs('삼성메가 9월 급여'!$AA:$AA,'삼성메가 9월 급여'!$W:$W,C92, '삼성메가 9월 급여'!$A:$A, A92) + sumifs('삼성메가 9월 급여'!$AF:$AF,'삼성메가 9월 급여'!$AB:$AB,C92, '삼성메가 9월 급여'!$A:$A, A92) + sumifs('삼성메가 9월 급여'!$AK:$AK,'삼성메가 9월 급여'!$AG:$AG,C92, '삼성메가 9월 급여'!$A:$A, A92)</f>
        <v>0</v>
      </c>
      <c r="E92" s="125" t="str">
        <f t="shared" si="13"/>
        <v>X</v>
      </c>
      <c r="F92" s="222">
        <v>10030.0</v>
      </c>
      <c r="G92" s="122">
        <f t="shared" si="17"/>
        <v>0</v>
      </c>
      <c r="H92" s="122">
        <f t="shared" si="19"/>
        <v>0</v>
      </c>
      <c r="I92" s="122">
        <f t="shared" si="4"/>
        <v>0</v>
      </c>
      <c r="J92" s="114"/>
      <c r="K92" s="111"/>
      <c r="L92" s="111"/>
      <c r="M92" s="111"/>
      <c r="N92" s="234"/>
      <c r="O92" s="111"/>
      <c r="P92" s="111"/>
      <c r="Q92" s="111"/>
      <c r="R92" s="111"/>
      <c r="S92" s="111"/>
      <c r="T92" s="111"/>
      <c r="U92" s="111"/>
      <c r="V92" s="111"/>
    </row>
    <row r="93">
      <c r="A93" s="151" t="s">
        <v>85</v>
      </c>
      <c r="B93" s="19">
        <v>12.0</v>
      </c>
      <c r="C93" s="116"/>
      <c r="D93" s="125">
        <f>sumifs('삼성메가 9월 급여'!$G:$G, '삼성메가 9월 급여'!$C:$C, C93, '삼성메가 9월 급여'!$A:$A, A93) + sumifs('삼성메가 9월 급여'!$L:$L,'삼성메가 9월 급여'!$H:$H,C93, '삼성메가 9월 급여'!$A:$A, A93) + sumifs('삼성메가 9월 급여'!$Q:$Q,'삼성메가 9월 급여'!$M:$M,C93, '삼성메가 9월 급여'!$A:$A, A93) + sumifs('삼성메가 9월 급여'!$V:$V,'삼성메가 9월 급여'!$R:$R,C93, '삼성메가 9월 급여'!$A:$A, A93) + sumifs('삼성메가 9월 급여'!$AA:$AA,'삼성메가 9월 급여'!$W:$W,C93, '삼성메가 9월 급여'!$A:$A, A93) + sumifs('삼성메가 9월 급여'!$AF:$AF,'삼성메가 9월 급여'!$AB:$AB,C93, '삼성메가 9월 급여'!$A:$A, A93) + sumifs('삼성메가 9월 급여'!$AK:$AK,'삼성메가 9월 급여'!$AG:$AG,C93, '삼성메가 9월 급여'!$A:$A, A93)</f>
        <v>0</v>
      </c>
      <c r="E93" s="125" t="str">
        <f t="shared" si="13"/>
        <v>X</v>
      </c>
      <c r="F93" s="222">
        <v>10030.0</v>
      </c>
      <c r="G93" s="122">
        <f t="shared" si="17"/>
        <v>0</v>
      </c>
      <c r="H93" s="122">
        <f t="shared" si="19"/>
        <v>0</v>
      </c>
      <c r="I93" s="122">
        <f t="shared" si="4"/>
        <v>0</v>
      </c>
      <c r="J93" s="127"/>
      <c r="K93" s="111"/>
      <c r="L93" s="111"/>
      <c r="M93" s="111"/>
      <c r="N93" s="234"/>
      <c r="O93" s="111"/>
      <c r="P93" s="111"/>
      <c r="Q93" s="111"/>
      <c r="R93" s="111"/>
      <c r="S93" s="111"/>
      <c r="T93" s="111"/>
      <c r="U93" s="111"/>
      <c r="V93" s="111"/>
    </row>
    <row r="94">
      <c r="A94" s="151" t="s">
        <v>85</v>
      </c>
      <c r="B94" s="19">
        <v>13.0</v>
      </c>
      <c r="C94" s="116"/>
      <c r="D94" s="125">
        <f>sumifs('삼성메가 9월 급여'!$G:$G, '삼성메가 9월 급여'!$C:$C, C94, '삼성메가 9월 급여'!$A:$A, A94) + sumifs('삼성메가 9월 급여'!$L:$L,'삼성메가 9월 급여'!$H:$H,C94, '삼성메가 9월 급여'!$A:$A, A94) + sumifs('삼성메가 9월 급여'!$Q:$Q,'삼성메가 9월 급여'!$M:$M,C94, '삼성메가 9월 급여'!$A:$A, A94) + sumifs('삼성메가 9월 급여'!$V:$V,'삼성메가 9월 급여'!$R:$R,C94, '삼성메가 9월 급여'!$A:$A, A94) + sumifs('삼성메가 9월 급여'!$AA:$AA,'삼성메가 9월 급여'!$W:$W,C94, '삼성메가 9월 급여'!$A:$A, A94) + sumifs('삼성메가 9월 급여'!$AF:$AF,'삼성메가 9월 급여'!$AB:$AB,C94, '삼성메가 9월 급여'!$A:$A, A94) + sumifs('삼성메가 9월 급여'!$AK:$AK,'삼성메가 9월 급여'!$AG:$AG,C94, '삼성메가 9월 급여'!$A:$A, A94)</f>
        <v>0</v>
      </c>
      <c r="E94" s="125" t="str">
        <f t="shared" si="13"/>
        <v>X</v>
      </c>
      <c r="F94" s="222">
        <v>10030.0</v>
      </c>
      <c r="G94" s="122">
        <f t="shared" si="17"/>
        <v>0</v>
      </c>
      <c r="H94" s="122">
        <f t="shared" si="19"/>
        <v>0</v>
      </c>
      <c r="I94" s="122">
        <f t="shared" si="4"/>
        <v>0</v>
      </c>
      <c r="J94" s="127"/>
      <c r="K94" s="111"/>
      <c r="L94" s="111"/>
      <c r="M94" s="111"/>
      <c r="N94" s="234"/>
      <c r="O94" s="111"/>
      <c r="P94" s="111"/>
      <c r="Q94" s="111"/>
      <c r="R94" s="111"/>
      <c r="S94" s="111"/>
      <c r="T94" s="111"/>
      <c r="U94" s="111"/>
      <c r="V94" s="111"/>
    </row>
    <row r="95">
      <c r="A95" s="151" t="s">
        <v>85</v>
      </c>
      <c r="B95" s="19">
        <v>14.0</v>
      </c>
      <c r="C95" s="126"/>
      <c r="D95" s="125">
        <f>sumifs('삼성메가 9월 급여'!$G:$G, '삼성메가 9월 급여'!$C:$C, C95, '삼성메가 9월 급여'!$A:$A, A95) + sumifs('삼성메가 9월 급여'!$L:$L,'삼성메가 9월 급여'!$H:$H,C95, '삼성메가 9월 급여'!$A:$A, A95) + sumifs('삼성메가 9월 급여'!$Q:$Q,'삼성메가 9월 급여'!$M:$M,C95, '삼성메가 9월 급여'!$A:$A, A95) + sumifs('삼성메가 9월 급여'!$V:$V,'삼성메가 9월 급여'!$R:$R,C95, '삼성메가 9월 급여'!$A:$A, A95) + sumifs('삼성메가 9월 급여'!$AA:$AA,'삼성메가 9월 급여'!$W:$W,C95, '삼성메가 9월 급여'!$A:$A, A95) + sumifs('삼성메가 9월 급여'!$AF:$AF,'삼성메가 9월 급여'!$AB:$AB,C95, '삼성메가 9월 급여'!$A:$A, A95) + sumifs('삼성메가 9월 급여'!$AK:$AK,'삼성메가 9월 급여'!$AG:$AG,C95, '삼성메가 9월 급여'!$A:$A, A95)</f>
        <v>0</v>
      </c>
      <c r="E95" s="125" t="str">
        <f t="shared" si="13"/>
        <v>X</v>
      </c>
      <c r="F95" s="222">
        <v>10030.0</v>
      </c>
      <c r="G95" s="122">
        <f t="shared" si="17"/>
        <v>0</v>
      </c>
      <c r="H95" s="122">
        <f t="shared" si="19"/>
        <v>0</v>
      </c>
      <c r="I95" s="122">
        <f t="shared" si="4"/>
        <v>0</v>
      </c>
      <c r="J95" s="127"/>
      <c r="K95" s="111"/>
      <c r="L95" s="111"/>
      <c r="M95" s="111"/>
      <c r="N95" s="234"/>
      <c r="O95" s="111"/>
      <c r="P95" s="111"/>
      <c r="Q95" s="111"/>
      <c r="R95" s="111"/>
      <c r="S95" s="111"/>
      <c r="T95" s="111"/>
      <c r="U95" s="111"/>
      <c r="V95" s="111"/>
    </row>
    <row r="96">
      <c r="A96" s="151" t="s">
        <v>85</v>
      </c>
      <c r="B96" s="19">
        <v>15.0</v>
      </c>
      <c r="C96" s="126"/>
      <c r="D96" s="125">
        <f>sumifs('삼성메가 9월 급여'!$G:$G, '삼성메가 9월 급여'!$C:$C, C96, '삼성메가 9월 급여'!$A:$A, A96) + sumifs('삼성메가 9월 급여'!$L:$L,'삼성메가 9월 급여'!$H:$H,C96, '삼성메가 9월 급여'!$A:$A, A96) + sumifs('삼성메가 9월 급여'!$Q:$Q,'삼성메가 9월 급여'!$M:$M,C96, '삼성메가 9월 급여'!$A:$A, A96) + sumifs('삼성메가 9월 급여'!$V:$V,'삼성메가 9월 급여'!$R:$R,C96, '삼성메가 9월 급여'!$A:$A, A96) + sumifs('삼성메가 9월 급여'!$AA:$AA,'삼성메가 9월 급여'!$W:$W,C96, '삼성메가 9월 급여'!$A:$A, A96) + sumifs('삼성메가 9월 급여'!$AF:$AF,'삼성메가 9월 급여'!$AB:$AB,C96, '삼성메가 9월 급여'!$A:$A, A96) + sumifs('삼성메가 9월 급여'!$AK:$AK,'삼성메가 9월 급여'!$AG:$AG,C96, '삼성메가 9월 급여'!$A:$A, A96)</f>
        <v>0</v>
      </c>
      <c r="E96" s="125" t="str">
        <f t="shared" si="13"/>
        <v>X</v>
      </c>
      <c r="F96" s="222">
        <v>10030.0</v>
      </c>
      <c r="G96" s="122">
        <f t="shared" si="17"/>
        <v>0</v>
      </c>
      <c r="H96" s="122">
        <f t="shared" si="19"/>
        <v>0</v>
      </c>
      <c r="I96" s="122">
        <f t="shared" si="4"/>
        <v>0</v>
      </c>
      <c r="J96" s="127"/>
      <c r="K96" s="111"/>
      <c r="L96" s="111"/>
      <c r="M96" s="111"/>
      <c r="N96" s="234"/>
      <c r="O96" s="111"/>
      <c r="P96" s="111"/>
      <c r="Q96" s="111"/>
      <c r="R96" s="111"/>
      <c r="S96" s="111"/>
      <c r="T96" s="111"/>
      <c r="U96" s="111"/>
      <c r="V96" s="111"/>
    </row>
    <row r="97">
      <c r="A97" s="151" t="s">
        <v>85</v>
      </c>
      <c r="B97" s="19">
        <v>16.0</v>
      </c>
      <c r="C97" s="30"/>
      <c r="D97" s="125">
        <f>sumifs('삼성메가 9월 급여'!$G:$G, '삼성메가 9월 급여'!$C:$C, C97, '삼성메가 9월 급여'!$A:$A, A97) + sumifs('삼성메가 9월 급여'!$L:$L,'삼성메가 9월 급여'!$H:$H,C97, '삼성메가 9월 급여'!$A:$A, A97) + sumifs('삼성메가 9월 급여'!$Q:$Q,'삼성메가 9월 급여'!$M:$M,C97, '삼성메가 9월 급여'!$A:$A, A97) + sumifs('삼성메가 9월 급여'!$V:$V,'삼성메가 9월 급여'!$R:$R,C97, '삼성메가 9월 급여'!$A:$A, A97) + sumifs('삼성메가 9월 급여'!$AA:$AA,'삼성메가 9월 급여'!$W:$W,C97, '삼성메가 9월 급여'!$A:$A, A97) + sumifs('삼성메가 9월 급여'!$AF:$AF,'삼성메가 9월 급여'!$AB:$AB,C97, '삼성메가 9월 급여'!$A:$A, A97) + sumifs('삼성메가 9월 급여'!$AK:$AK,'삼성메가 9월 급여'!$AG:$AG,C97, '삼성메가 9월 급여'!$A:$A, A97)</f>
        <v>0</v>
      </c>
      <c r="E97" s="125" t="str">
        <f t="shared" si="13"/>
        <v>X</v>
      </c>
      <c r="F97" s="222">
        <v>10030.0</v>
      </c>
      <c r="G97" s="122">
        <f t="shared" si="17"/>
        <v>0</v>
      </c>
      <c r="H97" s="122">
        <f t="shared" si="19"/>
        <v>0</v>
      </c>
      <c r="I97" s="122">
        <f t="shared" si="4"/>
        <v>0</v>
      </c>
      <c r="J97" s="127"/>
      <c r="K97" s="111"/>
      <c r="L97" s="111"/>
      <c r="M97" s="111"/>
      <c r="N97" s="234"/>
      <c r="O97" s="111"/>
      <c r="P97" s="111"/>
      <c r="Q97" s="111"/>
      <c r="R97" s="111"/>
      <c r="S97" s="111"/>
      <c r="T97" s="111"/>
      <c r="U97" s="111"/>
      <c r="V97" s="111"/>
    </row>
    <row r="98">
      <c r="A98" s="111"/>
      <c r="B98" s="111"/>
      <c r="C98" s="150"/>
      <c r="D98" s="150"/>
      <c r="E98" s="150"/>
      <c r="F98" s="111"/>
      <c r="G98" s="111"/>
      <c r="H98" s="111"/>
      <c r="I98" s="111"/>
      <c r="J98" s="111"/>
      <c r="K98" s="111"/>
      <c r="L98" s="111"/>
      <c r="M98" s="111"/>
      <c r="N98" s="234"/>
      <c r="O98" s="111"/>
      <c r="P98" s="111"/>
      <c r="Q98" s="111"/>
      <c r="R98" s="111"/>
      <c r="S98" s="111"/>
      <c r="T98" s="111"/>
      <c r="U98" s="111"/>
      <c r="V98" s="111"/>
    </row>
    <row r="99">
      <c r="A99" s="111"/>
      <c r="B99" s="111"/>
      <c r="C99" s="150"/>
      <c r="D99" s="150"/>
      <c r="E99" s="150"/>
      <c r="F99" s="111"/>
      <c r="G99" s="111"/>
      <c r="H99" s="111"/>
      <c r="I99" s="111"/>
      <c r="J99" s="111"/>
      <c r="K99" s="111"/>
      <c r="L99" s="111"/>
      <c r="M99" s="111"/>
      <c r="N99" s="234"/>
      <c r="O99" s="111"/>
      <c r="P99" s="111"/>
      <c r="Q99" s="111"/>
      <c r="R99" s="111"/>
      <c r="S99" s="111"/>
      <c r="T99" s="111"/>
      <c r="U99" s="111"/>
      <c r="V99" s="111"/>
    </row>
    <row r="100">
      <c r="A100" s="111"/>
      <c r="B100" s="111"/>
      <c r="C100" s="150"/>
      <c r="D100" s="150"/>
      <c r="E100" s="150"/>
      <c r="F100" s="111"/>
      <c r="G100" s="111"/>
      <c r="H100" s="111"/>
      <c r="I100" s="111"/>
      <c r="J100" s="111"/>
      <c r="K100" s="111"/>
      <c r="L100" s="111"/>
      <c r="M100" s="111"/>
      <c r="N100" s="234"/>
      <c r="O100" s="111"/>
      <c r="P100" s="111"/>
      <c r="Q100" s="111"/>
      <c r="R100" s="111"/>
      <c r="S100" s="111"/>
      <c r="T100" s="111"/>
      <c r="U100" s="111"/>
      <c r="V100" s="111"/>
    </row>
  </sheetData>
  <autoFilter ref="$A$1:$U$97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0"/>
    <col customWidth="1" min="3" max="3" width="8.75"/>
    <col customWidth="1" min="4" max="4" width="15.25"/>
    <col customWidth="1" min="7" max="7" width="59.0"/>
  </cols>
  <sheetData>
    <row r="1">
      <c r="A1" s="237" t="s">
        <v>154</v>
      </c>
      <c r="B1" s="238" t="s">
        <v>0</v>
      </c>
      <c r="C1" s="239" t="s">
        <v>155</v>
      </c>
      <c r="D1" s="238" t="s">
        <v>13</v>
      </c>
      <c r="E1" s="238" t="s">
        <v>156</v>
      </c>
      <c r="F1" s="238" t="s">
        <v>157</v>
      </c>
      <c r="G1" s="238" t="s">
        <v>10</v>
      </c>
    </row>
    <row r="2">
      <c r="A2" s="240">
        <v>1.0</v>
      </c>
      <c r="B2" s="241" t="s">
        <v>16</v>
      </c>
      <c r="C2" s="241"/>
      <c r="D2" s="241" t="s">
        <v>158</v>
      </c>
      <c r="E2" s="242" t="s">
        <v>159</v>
      </c>
      <c r="F2" s="243"/>
      <c r="G2" s="243"/>
    </row>
    <row r="3">
      <c r="A3" s="240">
        <v>2.0</v>
      </c>
      <c r="B3" s="241" t="s">
        <v>79</v>
      </c>
      <c r="C3" s="241"/>
      <c r="D3" s="241" t="s">
        <v>160</v>
      </c>
      <c r="E3" s="242" t="s">
        <v>161</v>
      </c>
      <c r="F3" s="243"/>
      <c r="G3" s="243" t="s">
        <v>162</v>
      </c>
    </row>
    <row r="4">
      <c r="A4" s="244">
        <v>3.0</v>
      </c>
      <c r="B4" s="245" t="s">
        <v>80</v>
      </c>
      <c r="C4" s="245" t="s">
        <v>163</v>
      </c>
      <c r="D4" s="246"/>
      <c r="E4" s="245" t="s">
        <v>159</v>
      </c>
      <c r="F4" s="247"/>
      <c r="G4" s="243"/>
    </row>
    <row r="5">
      <c r="A5" s="240">
        <v>4.0</v>
      </c>
      <c r="B5" s="247" t="s">
        <v>117</v>
      </c>
      <c r="C5" s="245" t="s">
        <v>164</v>
      </c>
      <c r="D5" s="246"/>
      <c r="E5" s="245" t="s">
        <v>159</v>
      </c>
      <c r="F5" s="247" t="s">
        <v>165</v>
      </c>
      <c r="G5" s="243" t="s">
        <v>166</v>
      </c>
    </row>
    <row r="6">
      <c r="A6" s="240">
        <v>5.0</v>
      </c>
      <c r="B6" s="247" t="s">
        <v>167</v>
      </c>
      <c r="C6" s="247"/>
      <c r="D6" s="247" t="s">
        <v>168</v>
      </c>
      <c r="E6" s="247" t="s">
        <v>169</v>
      </c>
      <c r="F6" s="247" t="s">
        <v>170</v>
      </c>
      <c r="G6" s="243"/>
    </row>
    <row r="7">
      <c r="A7" s="240">
        <v>6.0</v>
      </c>
      <c r="B7" s="241" t="s">
        <v>171</v>
      </c>
      <c r="C7" s="248" t="s">
        <v>172</v>
      </c>
      <c r="D7" s="249"/>
      <c r="E7" s="241" t="s">
        <v>161</v>
      </c>
      <c r="F7" s="243"/>
      <c r="G7" s="243"/>
    </row>
    <row r="8">
      <c r="A8" s="240">
        <v>7.0</v>
      </c>
      <c r="B8" s="241" t="s">
        <v>110</v>
      </c>
      <c r="C8" s="248" t="s">
        <v>173</v>
      </c>
      <c r="D8" s="249"/>
      <c r="E8" s="241" t="s">
        <v>159</v>
      </c>
      <c r="F8" s="243"/>
      <c r="G8" s="243"/>
    </row>
    <row r="9">
      <c r="A9" s="240">
        <v>8.0</v>
      </c>
      <c r="B9" s="241" t="s">
        <v>174</v>
      </c>
      <c r="C9" s="248" t="s">
        <v>175</v>
      </c>
      <c r="D9" s="249"/>
      <c r="E9" s="241" t="s">
        <v>161</v>
      </c>
      <c r="F9" s="241" t="s">
        <v>170</v>
      </c>
      <c r="G9" s="243" t="s">
        <v>176</v>
      </c>
    </row>
    <row r="10">
      <c r="A10" s="240">
        <v>9.0</v>
      </c>
      <c r="B10" s="247" t="s">
        <v>177</v>
      </c>
      <c r="C10" s="247"/>
      <c r="D10" s="247" t="s">
        <v>168</v>
      </c>
      <c r="E10" s="247"/>
      <c r="F10" s="247" t="s">
        <v>165</v>
      </c>
      <c r="G10" s="243"/>
    </row>
    <row r="11">
      <c r="A11" s="240">
        <v>10.0</v>
      </c>
      <c r="B11" s="247" t="s">
        <v>60</v>
      </c>
      <c r="C11" s="247"/>
      <c r="D11" s="247" t="s">
        <v>168</v>
      </c>
      <c r="E11" s="247"/>
      <c r="F11" s="247" t="s">
        <v>165</v>
      </c>
      <c r="G11" s="243"/>
    </row>
    <row r="12">
      <c r="A12" s="240">
        <v>11.0</v>
      </c>
      <c r="B12" s="241" t="s">
        <v>178</v>
      </c>
      <c r="C12" s="248" t="s">
        <v>179</v>
      </c>
      <c r="D12" s="249"/>
      <c r="E12" s="241" t="s">
        <v>161</v>
      </c>
      <c r="F12" s="241" t="s">
        <v>165</v>
      </c>
      <c r="G12" s="243"/>
    </row>
    <row r="13">
      <c r="A13" s="240">
        <v>12.0</v>
      </c>
      <c r="B13" s="241" t="s">
        <v>180</v>
      </c>
      <c r="C13" s="241"/>
      <c r="D13" s="241" t="s">
        <v>168</v>
      </c>
      <c r="E13" s="241" t="s">
        <v>161</v>
      </c>
      <c r="F13" s="243"/>
      <c r="G13" s="243"/>
    </row>
    <row r="14">
      <c r="A14" s="240">
        <v>13.0</v>
      </c>
      <c r="B14" s="247" t="s">
        <v>64</v>
      </c>
      <c r="C14" s="247"/>
      <c r="D14" s="247" t="s">
        <v>168</v>
      </c>
      <c r="E14" s="247"/>
      <c r="F14" s="247" t="s">
        <v>170</v>
      </c>
      <c r="G14" s="243"/>
    </row>
    <row r="15">
      <c r="A15" s="240">
        <v>14.0</v>
      </c>
      <c r="B15" s="247" t="s">
        <v>141</v>
      </c>
      <c r="C15" s="247"/>
      <c r="D15" s="247" t="s">
        <v>168</v>
      </c>
      <c r="E15" s="247"/>
      <c r="F15" s="247" t="s">
        <v>165</v>
      </c>
      <c r="G15" s="250" t="s">
        <v>181</v>
      </c>
    </row>
    <row r="16">
      <c r="A16" s="240">
        <v>15.0</v>
      </c>
      <c r="B16" s="241" t="s">
        <v>182</v>
      </c>
      <c r="C16" s="242" t="s">
        <v>183</v>
      </c>
      <c r="D16" s="241" t="s">
        <v>168</v>
      </c>
      <c r="E16" s="241" t="s">
        <v>161</v>
      </c>
      <c r="F16" s="243"/>
      <c r="G16" s="243"/>
    </row>
    <row r="17">
      <c r="A17" s="240">
        <v>16.0</v>
      </c>
      <c r="B17" s="241" t="s">
        <v>184</v>
      </c>
      <c r="C17" s="242" t="s">
        <v>185</v>
      </c>
      <c r="D17" s="241" t="s">
        <v>168</v>
      </c>
      <c r="E17" s="241" t="s">
        <v>161</v>
      </c>
      <c r="F17" s="243"/>
      <c r="G17" s="251" t="s">
        <v>144</v>
      </c>
    </row>
    <row r="18">
      <c r="A18" s="240">
        <v>17.0</v>
      </c>
      <c r="B18" s="241" t="s">
        <v>25</v>
      </c>
      <c r="C18" s="241"/>
      <c r="D18" s="241" t="s">
        <v>168</v>
      </c>
      <c r="E18" s="241" t="s">
        <v>161</v>
      </c>
      <c r="F18" s="243"/>
      <c r="G18" s="243"/>
    </row>
    <row r="19">
      <c r="A19" s="240">
        <v>18.0</v>
      </c>
      <c r="B19" s="241" t="s">
        <v>186</v>
      </c>
      <c r="C19" s="242" t="s">
        <v>187</v>
      </c>
      <c r="D19" s="241" t="s">
        <v>168</v>
      </c>
      <c r="E19" s="241" t="s">
        <v>159</v>
      </c>
      <c r="F19" s="243"/>
      <c r="G19" s="251" t="s">
        <v>144</v>
      </c>
    </row>
    <row r="20">
      <c r="A20" s="240">
        <v>19.0</v>
      </c>
      <c r="B20" s="241" t="s">
        <v>188</v>
      </c>
      <c r="C20" s="242"/>
      <c r="D20" s="241" t="s">
        <v>168</v>
      </c>
      <c r="E20" s="241" t="s">
        <v>159</v>
      </c>
      <c r="F20" s="243"/>
      <c r="G20" s="243"/>
    </row>
    <row r="21">
      <c r="A21" s="240">
        <v>20.0</v>
      </c>
      <c r="B21" s="241" t="s">
        <v>189</v>
      </c>
      <c r="C21" s="242" t="s">
        <v>190</v>
      </c>
      <c r="D21" s="241" t="s">
        <v>168</v>
      </c>
      <c r="E21" s="241" t="s">
        <v>159</v>
      </c>
      <c r="F21" s="243"/>
      <c r="G21" s="243"/>
    </row>
    <row r="22">
      <c r="A22" s="240">
        <v>21.0</v>
      </c>
      <c r="B22" s="241" t="s">
        <v>191</v>
      </c>
      <c r="C22" s="242" t="s">
        <v>192</v>
      </c>
      <c r="D22" s="243"/>
      <c r="E22" s="241" t="s">
        <v>159</v>
      </c>
      <c r="F22" s="241" t="s">
        <v>170</v>
      </c>
      <c r="G22" s="243" t="s">
        <v>193</v>
      </c>
    </row>
    <row r="23">
      <c r="A23" s="240">
        <v>22.0</v>
      </c>
      <c r="B23" s="241" t="s">
        <v>194</v>
      </c>
      <c r="C23" s="242" t="s">
        <v>195</v>
      </c>
      <c r="D23" s="241" t="s">
        <v>168</v>
      </c>
      <c r="E23" s="241" t="s">
        <v>196</v>
      </c>
      <c r="F23" s="243"/>
      <c r="G23" s="251" t="s">
        <v>144</v>
      </c>
    </row>
    <row r="24">
      <c r="A24" s="240">
        <v>23.0</v>
      </c>
      <c r="B24" s="241" t="s">
        <v>197</v>
      </c>
      <c r="C24" s="242" t="s">
        <v>198</v>
      </c>
      <c r="D24" s="241" t="s">
        <v>168</v>
      </c>
      <c r="E24" s="241" t="s">
        <v>159</v>
      </c>
      <c r="F24" s="243"/>
      <c r="G24" s="243"/>
    </row>
    <row r="25">
      <c r="A25" s="240">
        <v>24.0</v>
      </c>
      <c r="B25" s="241" t="s">
        <v>102</v>
      </c>
      <c r="C25" s="242" t="s">
        <v>199</v>
      </c>
      <c r="D25" s="241"/>
      <c r="E25" s="241" t="s">
        <v>161</v>
      </c>
      <c r="F25" s="243"/>
      <c r="G25" s="243" t="s">
        <v>200</v>
      </c>
    </row>
    <row r="26">
      <c r="A26" s="244">
        <v>25.0</v>
      </c>
      <c r="B26" s="242" t="s">
        <v>201</v>
      </c>
      <c r="C26" s="242"/>
      <c r="D26" s="241"/>
      <c r="E26" s="241" t="s">
        <v>161</v>
      </c>
      <c r="F26" s="243"/>
      <c r="G26" s="251" t="s">
        <v>202</v>
      </c>
    </row>
    <row r="27">
      <c r="C27" s="252"/>
      <c r="E27" s="252"/>
    </row>
    <row r="28">
      <c r="C28" s="252"/>
      <c r="E28" s="252"/>
    </row>
    <row r="29">
      <c r="C29" s="252"/>
      <c r="E29" s="252"/>
    </row>
    <row r="30">
      <c r="C30" s="252"/>
      <c r="E30" s="252"/>
    </row>
    <row r="31">
      <c r="C31" s="252"/>
      <c r="E31" s="252"/>
    </row>
    <row r="32">
      <c r="C32" s="252"/>
      <c r="E32" s="252"/>
    </row>
    <row r="33">
      <c r="C33" s="252"/>
      <c r="E33" s="252"/>
    </row>
    <row r="34">
      <c r="C34" s="252"/>
      <c r="E34" s="252"/>
    </row>
    <row r="35">
      <c r="C35" s="252"/>
      <c r="E35" s="252"/>
    </row>
    <row r="36">
      <c r="C36" s="252"/>
      <c r="E36" s="252"/>
    </row>
    <row r="37">
      <c r="C37" s="252"/>
      <c r="E37" s="252"/>
    </row>
    <row r="38">
      <c r="C38" s="252"/>
      <c r="E38" s="252"/>
    </row>
    <row r="39">
      <c r="C39" s="252"/>
      <c r="E39" s="252"/>
    </row>
    <row r="40">
      <c r="C40" s="252"/>
      <c r="E40" s="252"/>
    </row>
    <row r="41">
      <c r="C41" s="252"/>
      <c r="E41" s="252"/>
    </row>
    <row r="42">
      <c r="C42" s="252"/>
      <c r="E42" s="252"/>
    </row>
    <row r="43">
      <c r="C43" s="252"/>
      <c r="E43" s="252"/>
    </row>
    <row r="44">
      <c r="C44" s="252"/>
      <c r="E44" s="252"/>
    </row>
    <row r="45">
      <c r="C45" s="252"/>
      <c r="E45" s="252"/>
    </row>
    <row r="46">
      <c r="C46" s="252"/>
      <c r="E46" s="252"/>
    </row>
    <row r="47">
      <c r="C47" s="252"/>
      <c r="E47" s="252"/>
    </row>
    <row r="48">
      <c r="C48" s="252"/>
      <c r="E48" s="252"/>
    </row>
    <row r="49">
      <c r="C49" s="252"/>
      <c r="E49" s="252"/>
    </row>
    <row r="50">
      <c r="C50" s="252"/>
      <c r="E50" s="252"/>
    </row>
    <row r="51">
      <c r="C51" s="252"/>
      <c r="E51" s="252"/>
    </row>
    <row r="52">
      <c r="C52" s="252"/>
      <c r="E52" s="252"/>
    </row>
    <row r="53">
      <c r="C53" s="252"/>
      <c r="E53" s="252"/>
    </row>
    <row r="54">
      <c r="C54" s="252"/>
      <c r="E54" s="252"/>
    </row>
    <row r="55">
      <c r="C55" s="252"/>
      <c r="E55" s="252"/>
    </row>
    <row r="56">
      <c r="C56" s="252"/>
      <c r="E56" s="252"/>
    </row>
    <row r="57">
      <c r="C57" s="252"/>
      <c r="E57" s="252"/>
    </row>
    <row r="58">
      <c r="C58" s="252"/>
      <c r="E58" s="252"/>
    </row>
    <row r="59">
      <c r="C59" s="252"/>
      <c r="E59" s="252"/>
    </row>
    <row r="60">
      <c r="C60" s="252"/>
      <c r="E60" s="252"/>
    </row>
    <row r="61">
      <c r="C61" s="252"/>
      <c r="E61" s="252"/>
    </row>
    <row r="62">
      <c r="C62" s="252"/>
      <c r="E62" s="252"/>
    </row>
    <row r="63">
      <c r="C63" s="252"/>
      <c r="E63" s="252"/>
    </row>
    <row r="64">
      <c r="C64" s="252"/>
      <c r="E64" s="252"/>
    </row>
    <row r="65">
      <c r="C65" s="252"/>
      <c r="E65" s="252"/>
    </row>
    <row r="66">
      <c r="C66" s="252"/>
      <c r="E66" s="252"/>
    </row>
    <row r="67">
      <c r="C67" s="252"/>
      <c r="E67" s="252"/>
    </row>
    <row r="68">
      <c r="C68" s="252"/>
      <c r="E68" s="252"/>
    </row>
    <row r="69">
      <c r="C69" s="252"/>
      <c r="E69" s="252"/>
    </row>
    <row r="70">
      <c r="C70" s="252"/>
      <c r="E70" s="252"/>
    </row>
    <row r="71">
      <c r="C71" s="252"/>
      <c r="E71" s="252"/>
    </row>
    <row r="72">
      <c r="C72" s="252"/>
      <c r="E72" s="252"/>
    </row>
    <row r="73">
      <c r="C73" s="252"/>
      <c r="E73" s="252"/>
    </row>
    <row r="74">
      <c r="C74" s="252"/>
      <c r="E74" s="252"/>
    </row>
    <row r="75">
      <c r="C75" s="252"/>
      <c r="E75" s="252"/>
    </row>
    <row r="76">
      <c r="C76" s="252"/>
      <c r="E76" s="252"/>
    </row>
    <row r="77">
      <c r="C77" s="252"/>
      <c r="E77" s="252"/>
    </row>
    <row r="78">
      <c r="C78" s="252"/>
      <c r="E78" s="252"/>
    </row>
    <row r="79">
      <c r="C79" s="252"/>
      <c r="E79" s="252"/>
    </row>
    <row r="80">
      <c r="C80" s="252"/>
      <c r="E80" s="252"/>
    </row>
    <row r="81">
      <c r="C81" s="252"/>
      <c r="E81" s="252"/>
    </row>
    <row r="82">
      <c r="C82" s="252"/>
      <c r="E82" s="252"/>
    </row>
    <row r="83">
      <c r="C83" s="252"/>
      <c r="E83" s="252"/>
    </row>
    <row r="84">
      <c r="C84" s="252"/>
      <c r="E84" s="252"/>
    </row>
    <row r="85">
      <c r="C85" s="252"/>
      <c r="E85" s="252"/>
    </row>
    <row r="86">
      <c r="C86" s="252"/>
      <c r="E86" s="252"/>
    </row>
    <row r="87">
      <c r="C87" s="252"/>
      <c r="E87" s="252"/>
    </row>
    <row r="88">
      <c r="C88" s="252"/>
      <c r="E88" s="252"/>
    </row>
    <row r="89">
      <c r="C89" s="252"/>
      <c r="E89" s="252"/>
    </row>
    <row r="90">
      <c r="C90" s="252"/>
      <c r="E90" s="252"/>
    </row>
    <row r="91">
      <c r="C91" s="252"/>
      <c r="E91" s="252"/>
    </row>
    <row r="92">
      <c r="C92" s="252"/>
      <c r="E92" s="252"/>
    </row>
    <row r="93">
      <c r="C93" s="252"/>
      <c r="E93" s="252"/>
    </row>
    <row r="94">
      <c r="C94" s="252"/>
      <c r="E94" s="252"/>
    </row>
    <row r="95">
      <c r="C95" s="252"/>
      <c r="E95" s="252"/>
    </row>
    <row r="96">
      <c r="C96" s="252"/>
      <c r="E96" s="252"/>
    </row>
    <row r="97">
      <c r="C97" s="252"/>
      <c r="E97" s="252"/>
    </row>
    <row r="98">
      <c r="C98" s="252"/>
      <c r="E98" s="252"/>
    </row>
    <row r="99">
      <c r="C99" s="252"/>
      <c r="E99" s="252"/>
    </row>
    <row r="100">
      <c r="C100" s="252"/>
      <c r="E100" s="252"/>
    </row>
    <row r="101">
      <c r="C101" s="252"/>
      <c r="E101" s="252"/>
    </row>
    <row r="102">
      <c r="C102" s="252"/>
      <c r="E102" s="252"/>
    </row>
    <row r="103">
      <c r="C103" s="252"/>
      <c r="E103" s="252"/>
    </row>
    <row r="104">
      <c r="C104" s="252"/>
      <c r="E104" s="252"/>
    </row>
    <row r="105">
      <c r="C105" s="252"/>
      <c r="E105" s="252"/>
    </row>
    <row r="106">
      <c r="C106" s="252"/>
      <c r="E106" s="252"/>
    </row>
    <row r="107">
      <c r="C107" s="252"/>
      <c r="E107" s="252"/>
    </row>
    <row r="108">
      <c r="C108" s="252"/>
      <c r="E108" s="252"/>
    </row>
    <row r="109">
      <c r="C109" s="252"/>
      <c r="E109" s="252"/>
    </row>
    <row r="110">
      <c r="C110" s="252"/>
      <c r="E110" s="252"/>
    </row>
    <row r="111">
      <c r="C111" s="252"/>
      <c r="E111" s="252"/>
    </row>
    <row r="112">
      <c r="C112" s="252"/>
      <c r="E112" s="252"/>
    </row>
    <row r="113">
      <c r="C113" s="252"/>
      <c r="E113" s="252"/>
    </row>
    <row r="114">
      <c r="C114" s="252"/>
      <c r="E114" s="252"/>
    </row>
    <row r="115">
      <c r="C115" s="252"/>
      <c r="E115" s="252"/>
    </row>
    <row r="116">
      <c r="C116" s="252"/>
      <c r="E116" s="252"/>
    </row>
    <row r="117">
      <c r="C117" s="252"/>
      <c r="E117" s="252"/>
    </row>
    <row r="118">
      <c r="C118" s="252"/>
      <c r="E118" s="252"/>
    </row>
    <row r="119">
      <c r="C119" s="252"/>
      <c r="E119" s="252"/>
    </row>
    <row r="120">
      <c r="C120" s="252"/>
      <c r="E120" s="252"/>
    </row>
    <row r="121">
      <c r="C121" s="252"/>
      <c r="E121" s="252"/>
    </row>
    <row r="122">
      <c r="C122" s="252"/>
      <c r="E122" s="252"/>
    </row>
    <row r="123">
      <c r="C123" s="252"/>
      <c r="E123" s="252"/>
    </row>
    <row r="124">
      <c r="C124" s="252"/>
      <c r="E124" s="252"/>
    </row>
    <row r="125">
      <c r="C125" s="252"/>
      <c r="E125" s="252"/>
    </row>
    <row r="126">
      <c r="C126" s="252"/>
      <c r="E126" s="252"/>
    </row>
    <row r="127">
      <c r="C127" s="252"/>
      <c r="E127" s="252"/>
    </row>
    <row r="128">
      <c r="C128" s="252"/>
      <c r="E128" s="252"/>
    </row>
    <row r="129">
      <c r="C129" s="252"/>
      <c r="E129" s="252"/>
    </row>
    <row r="130">
      <c r="C130" s="252"/>
      <c r="E130" s="252"/>
    </row>
    <row r="131">
      <c r="C131" s="252"/>
      <c r="E131" s="252"/>
    </row>
    <row r="132">
      <c r="C132" s="252"/>
      <c r="E132" s="252"/>
    </row>
    <row r="133">
      <c r="C133" s="252"/>
      <c r="E133" s="252"/>
    </row>
    <row r="134">
      <c r="C134" s="252"/>
      <c r="E134" s="252"/>
    </row>
    <row r="135">
      <c r="C135" s="252"/>
      <c r="E135" s="252"/>
    </row>
    <row r="136">
      <c r="C136" s="252"/>
      <c r="E136" s="252"/>
    </row>
    <row r="137">
      <c r="C137" s="252"/>
      <c r="E137" s="252"/>
    </row>
    <row r="138">
      <c r="C138" s="252"/>
      <c r="E138" s="252"/>
    </row>
    <row r="139">
      <c r="C139" s="252"/>
      <c r="E139" s="252"/>
    </row>
    <row r="140">
      <c r="C140" s="252"/>
      <c r="E140" s="252"/>
    </row>
    <row r="141">
      <c r="C141" s="252"/>
      <c r="E141" s="252"/>
    </row>
    <row r="142">
      <c r="C142" s="252"/>
      <c r="E142" s="252"/>
    </row>
    <row r="143">
      <c r="C143" s="252"/>
      <c r="E143" s="252"/>
    </row>
    <row r="144">
      <c r="C144" s="252"/>
      <c r="E144" s="252"/>
    </row>
    <row r="145">
      <c r="C145" s="252"/>
      <c r="E145" s="252"/>
    </row>
    <row r="146">
      <c r="C146" s="252"/>
      <c r="E146" s="252"/>
    </row>
    <row r="147">
      <c r="C147" s="252"/>
      <c r="E147" s="252"/>
    </row>
    <row r="148">
      <c r="C148" s="252"/>
      <c r="E148" s="252"/>
    </row>
    <row r="149">
      <c r="C149" s="252"/>
      <c r="E149" s="252"/>
    </row>
    <row r="150">
      <c r="C150" s="252"/>
      <c r="E150" s="252"/>
    </row>
    <row r="151">
      <c r="C151" s="252"/>
      <c r="E151" s="252"/>
    </row>
    <row r="152">
      <c r="C152" s="252"/>
      <c r="E152" s="252"/>
    </row>
    <row r="153">
      <c r="C153" s="252"/>
      <c r="E153" s="252"/>
    </row>
    <row r="154">
      <c r="C154" s="252"/>
      <c r="E154" s="252"/>
    </row>
    <row r="155">
      <c r="C155" s="252"/>
      <c r="E155" s="252"/>
    </row>
    <row r="156">
      <c r="C156" s="252"/>
      <c r="E156" s="252"/>
    </row>
    <row r="157">
      <c r="C157" s="252"/>
      <c r="E157" s="252"/>
    </row>
    <row r="158">
      <c r="C158" s="252"/>
      <c r="E158" s="252"/>
    </row>
    <row r="159">
      <c r="C159" s="252"/>
      <c r="E159" s="252"/>
    </row>
    <row r="160">
      <c r="C160" s="252"/>
      <c r="E160" s="252"/>
    </row>
    <row r="161">
      <c r="C161" s="252"/>
      <c r="E161" s="252"/>
    </row>
    <row r="162">
      <c r="C162" s="252"/>
      <c r="E162" s="252"/>
    </row>
    <row r="163">
      <c r="C163" s="252"/>
      <c r="E163" s="252"/>
    </row>
    <row r="164">
      <c r="C164" s="252"/>
      <c r="E164" s="252"/>
    </row>
    <row r="165">
      <c r="C165" s="252"/>
      <c r="E165" s="252"/>
    </row>
    <row r="166">
      <c r="C166" s="252"/>
      <c r="E166" s="252"/>
    </row>
    <row r="167">
      <c r="C167" s="252"/>
      <c r="E167" s="252"/>
    </row>
    <row r="168">
      <c r="C168" s="252"/>
      <c r="E168" s="252"/>
    </row>
    <row r="169">
      <c r="C169" s="252"/>
      <c r="E169" s="252"/>
    </row>
    <row r="170">
      <c r="C170" s="252"/>
      <c r="E170" s="252"/>
    </row>
    <row r="171">
      <c r="C171" s="252"/>
      <c r="E171" s="252"/>
    </row>
    <row r="172">
      <c r="C172" s="252"/>
      <c r="E172" s="252"/>
    </row>
    <row r="173">
      <c r="C173" s="252"/>
      <c r="E173" s="252"/>
    </row>
    <row r="174">
      <c r="C174" s="252"/>
      <c r="E174" s="252"/>
    </row>
    <row r="175">
      <c r="C175" s="252"/>
      <c r="E175" s="252"/>
    </row>
    <row r="176">
      <c r="C176" s="252"/>
      <c r="E176" s="252"/>
    </row>
    <row r="177">
      <c r="C177" s="252"/>
      <c r="E177" s="252"/>
    </row>
    <row r="178">
      <c r="C178" s="252"/>
      <c r="E178" s="252"/>
    </row>
    <row r="179">
      <c r="C179" s="252"/>
      <c r="E179" s="252"/>
    </row>
    <row r="180">
      <c r="C180" s="252"/>
      <c r="E180" s="252"/>
    </row>
    <row r="181">
      <c r="C181" s="252"/>
      <c r="E181" s="252"/>
    </row>
    <row r="182">
      <c r="C182" s="252"/>
      <c r="E182" s="252"/>
    </row>
    <row r="183">
      <c r="C183" s="252"/>
      <c r="E183" s="252"/>
    </row>
    <row r="184">
      <c r="C184" s="252"/>
      <c r="E184" s="252"/>
    </row>
    <row r="185">
      <c r="C185" s="252"/>
      <c r="E185" s="252"/>
    </row>
    <row r="186">
      <c r="C186" s="252"/>
      <c r="E186" s="252"/>
    </row>
    <row r="187">
      <c r="C187" s="252"/>
      <c r="E187" s="252"/>
    </row>
    <row r="188">
      <c r="C188" s="252"/>
      <c r="E188" s="252"/>
    </row>
    <row r="189">
      <c r="C189" s="252"/>
      <c r="E189" s="252"/>
    </row>
    <row r="190">
      <c r="C190" s="252"/>
      <c r="E190" s="252"/>
    </row>
    <row r="191">
      <c r="C191" s="252"/>
      <c r="E191" s="252"/>
    </row>
    <row r="192">
      <c r="C192" s="252"/>
      <c r="E192" s="252"/>
    </row>
    <row r="193">
      <c r="C193" s="252"/>
      <c r="E193" s="252"/>
    </row>
    <row r="194">
      <c r="C194" s="252"/>
      <c r="E194" s="252"/>
    </row>
    <row r="195">
      <c r="C195" s="252"/>
      <c r="E195" s="252"/>
    </row>
    <row r="196">
      <c r="C196" s="252"/>
      <c r="E196" s="252"/>
    </row>
    <row r="197">
      <c r="C197" s="252"/>
      <c r="E197" s="252"/>
    </row>
    <row r="198">
      <c r="C198" s="252"/>
      <c r="E198" s="252"/>
    </row>
    <row r="199">
      <c r="C199" s="252"/>
      <c r="E199" s="252"/>
    </row>
    <row r="200">
      <c r="C200" s="252"/>
      <c r="E200" s="252"/>
    </row>
    <row r="201">
      <c r="C201" s="252"/>
      <c r="E201" s="252"/>
    </row>
    <row r="202">
      <c r="C202" s="252"/>
      <c r="E202" s="252"/>
    </row>
    <row r="203">
      <c r="C203" s="252"/>
      <c r="E203" s="252"/>
    </row>
    <row r="204">
      <c r="C204" s="252"/>
      <c r="E204" s="252"/>
    </row>
    <row r="205">
      <c r="C205" s="252"/>
      <c r="E205" s="252"/>
    </row>
    <row r="206">
      <c r="C206" s="252"/>
      <c r="E206" s="252"/>
    </row>
    <row r="207">
      <c r="C207" s="252"/>
      <c r="E207" s="252"/>
    </row>
    <row r="208">
      <c r="C208" s="252"/>
      <c r="E208" s="252"/>
    </row>
    <row r="209">
      <c r="C209" s="252"/>
      <c r="E209" s="252"/>
    </row>
    <row r="210">
      <c r="C210" s="252"/>
      <c r="E210" s="252"/>
    </row>
    <row r="211">
      <c r="C211" s="252"/>
      <c r="E211" s="252"/>
    </row>
    <row r="212">
      <c r="C212" s="252"/>
      <c r="E212" s="252"/>
    </row>
    <row r="213">
      <c r="C213" s="252"/>
      <c r="E213" s="252"/>
    </row>
    <row r="214">
      <c r="C214" s="252"/>
      <c r="E214" s="252"/>
    </row>
    <row r="215">
      <c r="C215" s="252"/>
      <c r="E215" s="252"/>
    </row>
    <row r="216">
      <c r="C216" s="252"/>
      <c r="E216" s="252"/>
    </row>
    <row r="217">
      <c r="C217" s="252"/>
      <c r="E217" s="252"/>
    </row>
    <row r="218">
      <c r="C218" s="252"/>
      <c r="E218" s="252"/>
    </row>
    <row r="219">
      <c r="C219" s="252"/>
      <c r="E219" s="252"/>
    </row>
    <row r="220">
      <c r="C220" s="252"/>
      <c r="E220" s="252"/>
    </row>
    <row r="221">
      <c r="C221" s="252"/>
      <c r="E221" s="252"/>
    </row>
    <row r="222">
      <c r="C222" s="252"/>
      <c r="E222" s="252"/>
    </row>
    <row r="223">
      <c r="C223" s="252"/>
      <c r="E223" s="252"/>
    </row>
    <row r="224">
      <c r="C224" s="252"/>
      <c r="E224" s="252"/>
    </row>
    <row r="225">
      <c r="C225" s="252"/>
      <c r="E225" s="252"/>
    </row>
    <row r="226">
      <c r="C226" s="252"/>
      <c r="E226" s="252"/>
    </row>
    <row r="227">
      <c r="C227" s="252"/>
      <c r="E227" s="252"/>
    </row>
    <row r="228">
      <c r="C228" s="252"/>
      <c r="E228" s="252"/>
    </row>
    <row r="229">
      <c r="C229" s="252"/>
      <c r="E229" s="252"/>
    </row>
    <row r="230">
      <c r="C230" s="252"/>
      <c r="E230" s="252"/>
    </row>
    <row r="231">
      <c r="C231" s="252"/>
      <c r="E231" s="252"/>
    </row>
    <row r="232">
      <c r="C232" s="252"/>
      <c r="E232" s="252"/>
    </row>
    <row r="233">
      <c r="C233" s="252"/>
      <c r="E233" s="252"/>
    </row>
    <row r="234">
      <c r="C234" s="252"/>
      <c r="E234" s="252"/>
    </row>
    <row r="235">
      <c r="C235" s="252"/>
      <c r="E235" s="252"/>
    </row>
    <row r="236">
      <c r="C236" s="252"/>
      <c r="E236" s="252"/>
    </row>
    <row r="237">
      <c r="C237" s="252"/>
      <c r="E237" s="252"/>
    </row>
    <row r="238">
      <c r="C238" s="252"/>
      <c r="E238" s="252"/>
    </row>
    <row r="239">
      <c r="C239" s="252"/>
      <c r="E239" s="252"/>
    </row>
    <row r="240">
      <c r="C240" s="252"/>
      <c r="E240" s="252"/>
    </row>
    <row r="241">
      <c r="C241" s="252"/>
      <c r="E241" s="252"/>
    </row>
    <row r="242">
      <c r="C242" s="252"/>
      <c r="E242" s="252"/>
    </row>
    <row r="243">
      <c r="C243" s="252"/>
      <c r="E243" s="252"/>
    </row>
    <row r="244">
      <c r="C244" s="252"/>
      <c r="E244" s="252"/>
    </row>
    <row r="245">
      <c r="C245" s="252"/>
      <c r="E245" s="252"/>
    </row>
    <row r="246">
      <c r="C246" s="252"/>
      <c r="E246" s="252"/>
    </row>
    <row r="247">
      <c r="C247" s="252"/>
      <c r="E247" s="252"/>
    </row>
    <row r="248">
      <c r="C248" s="252"/>
      <c r="E248" s="252"/>
    </row>
    <row r="249">
      <c r="C249" s="252"/>
      <c r="E249" s="252"/>
    </row>
    <row r="250">
      <c r="C250" s="252"/>
      <c r="E250" s="252"/>
    </row>
    <row r="251">
      <c r="C251" s="252"/>
      <c r="E251" s="252"/>
    </row>
    <row r="252">
      <c r="C252" s="252"/>
      <c r="E252" s="252"/>
    </row>
    <row r="253">
      <c r="C253" s="252"/>
      <c r="E253" s="252"/>
    </row>
    <row r="254">
      <c r="C254" s="252"/>
      <c r="E254" s="252"/>
    </row>
    <row r="255">
      <c r="C255" s="252"/>
      <c r="E255" s="252"/>
    </row>
    <row r="256">
      <c r="C256" s="252"/>
      <c r="E256" s="252"/>
    </row>
    <row r="257">
      <c r="C257" s="252"/>
      <c r="E257" s="252"/>
    </row>
    <row r="258">
      <c r="C258" s="252"/>
      <c r="E258" s="252"/>
    </row>
    <row r="259">
      <c r="C259" s="252"/>
      <c r="E259" s="252"/>
    </row>
    <row r="260">
      <c r="C260" s="252"/>
      <c r="E260" s="252"/>
    </row>
    <row r="261">
      <c r="C261" s="252"/>
      <c r="E261" s="252"/>
    </row>
    <row r="262">
      <c r="C262" s="252"/>
      <c r="E262" s="252"/>
    </row>
    <row r="263">
      <c r="C263" s="252"/>
      <c r="E263" s="252"/>
    </row>
    <row r="264">
      <c r="C264" s="252"/>
      <c r="E264" s="252"/>
    </row>
    <row r="265">
      <c r="C265" s="252"/>
      <c r="E265" s="252"/>
    </row>
    <row r="266">
      <c r="C266" s="252"/>
      <c r="E266" s="252"/>
    </row>
    <row r="267">
      <c r="C267" s="252"/>
      <c r="E267" s="252"/>
    </row>
    <row r="268">
      <c r="C268" s="252"/>
      <c r="E268" s="252"/>
    </row>
    <row r="269">
      <c r="C269" s="252"/>
      <c r="E269" s="252"/>
    </row>
    <row r="270">
      <c r="C270" s="252"/>
      <c r="E270" s="252"/>
    </row>
    <row r="271">
      <c r="C271" s="252"/>
      <c r="E271" s="252"/>
    </row>
    <row r="272">
      <c r="C272" s="252"/>
      <c r="E272" s="252"/>
    </row>
    <row r="273">
      <c r="C273" s="252"/>
      <c r="E273" s="252"/>
    </row>
    <row r="274">
      <c r="C274" s="252"/>
      <c r="E274" s="252"/>
    </row>
    <row r="275">
      <c r="C275" s="252"/>
      <c r="E275" s="252"/>
    </row>
    <row r="276">
      <c r="C276" s="252"/>
      <c r="E276" s="252"/>
    </row>
    <row r="277">
      <c r="C277" s="252"/>
      <c r="E277" s="252"/>
    </row>
    <row r="278">
      <c r="C278" s="252"/>
      <c r="E278" s="252"/>
    </row>
    <row r="279">
      <c r="C279" s="252"/>
      <c r="E279" s="252"/>
    </row>
    <row r="280">
      <c r="C280" s="252"/>
      <c r="E280" s="252"/>
    </row>
    <row r="281">
      <c r="C281" s="252"/>
      <c r="E281" s="252"/>
    </row>
    <row r="282">
      <c r="C282" s="252"/>
      <c r="E282" s="252"/>
    </row>
    <row r="283">
      <c r="C283" s="252"/>
      <c r="E283" s="252"/>
    </row>
    <row r="284">
      <c r="C284" s="252"/>
      <c r="E284" s="252"/>
    </row>
    <row r="285">
      <c r="C285" s="252"/>
      <c r="E285" s="252"/>
    </row>
    <row r="286">
      <c r="C286" s="252"/>
      <c r="E286" s="252"/>
    </row>
    <row r="287">
      <c r="C287" s="252"/>
      <c r="E287" s="252"/>
    </row>
    <row r="288">
      <c r="C288" s="252"/>
      <c r="E288" s="252"/>
    </row>
    <row r="289">
      <c r="C289" s="252"/>
      <c r="E289" s="252"/>
    </row>
    <row r="290">
      <c r="C290" s="252"/>
      <c r="E290" s="252"/>
    </row>
    <row r="291">
      <c r="C291" s="252"/>
      <c r="E291" s="252"/>
    </row>
    <row r="292">
      <c r="C292" s="252"/>
      <c r="E292" s="252"/>
    </row>
    <row r="293">
      <c r="C293" s="252"/>
      <c r="E293" s="252"/>
    </row>
    <row r="294">
      <c r="C294" s="252"/>
      <c r="E294" s="252"/>
    </row>
    <row r="295">
      <c r="C295" s="252"/>
      <c r="E295" s="252"/>
    </row>
    <row r="296">
      <c r="C296" s="252"/>
      <c r="E296" s="252"/>
    </row>
    <row r="297">
      <c r="C297" s="252"/>
      <c r="E297" s="252"/>
    </row>
    <row r="298">
      <c r="C298" s="252"/>
      <c r="E298" s="252"/>
    </row>
    <row r="299">
      <c r="C299" s="252"/>
      <c r="E299" s="252"/>
    </row>
    <row r="300">
      <c r="C300" s="252"/>
      <c r="E300" s="252"/>
    </row>
    <row r="301">
      <c r="C301" s="252"/>
      <c r="E301" s="252"/>
    </row>
    <row r="302">
      <c r="C302" s="252"/>
      <c r="E302" s="252"/>
    </row>
    <row r="303">
      <c r="C303" s="252"/>
      <c r="E303" s="252"/>
    </row>
    <row r="304">
      <c r="C304" s="252"/>
      <c r="E304" s="252"/>
    </row>
    <row r="305">
      <c r="C305" s="252"/>
      <c r="E305" s="252"/>
    </row>
    <row r="306">
      <c r="C306" s="252"/>
      <c r="E306" s="252"/>
    </row>
    <row r="307">
      <c r="C307" s="252"/>
      <c r="E307" s="252"/>
    </row>
    <row r="308">
      <c r="C308" s="252"/>
      <c r="E308" s="252"/>
    </row>
    <row r="309">
      <c r="C309" s="252"/>
      <c r="E309" s="252"/>
    </row>
    <row r="310">
      <c r="C310" s="252"/>
      <c r="E310" s="252"/>
    </row>
    <row r="311">
      <c r="C311" s="252"/>
      <c r="E311" s="252"/>
    </row>
    <row r="312">
      <c r="C312" s="252"/>
      <c r="E312" s="252"/>
    </row>
    <row r="313">
      <c r="C313" s="252"/>
      <c r="E313" s="252"/>
    </row>
    <row r="314">
      <c r="C314" s="252"/>
      <c r="E314" s="252"/>
    </row>
    <row r="315">
      <c r="C315" s="252"/>
      <c r="E315" s="252"/>
    </row>
    <row r="316">
      <c r="C316" s="252"/>
      <c r="E316" s="252"/>
    </row>
    <row r="317">
      <c r="C317" s="252"/>
      <c r="E317" s="252"/>
    </row>
    <row r="318">
      <c r="C318" s="252"/>
      <c r="E318" s="252"/>
    </row>
    <row r="319">
      <c r="C319" s="252"/>
      <c r="E319" s="252"/>
    </row>
    <row r="320">
      <c r="C320" s="252"/>
      <c r="E320" s="252"/>
    </row>
    <row r="321">
      <c r="C321" s="252"/>
      <c r="E321" s="252"/>
    </row>
    <row r="322">
      <c r="C322" s="252"/>
      <c r="E322" s="252"/>
    </row>
    <row r="323">
      <c r="C323" s="252"/>
      <c r="E323" s="252"/>
    </row>
    <row r="324">
      <c r="C324" s="252"/>
      <c r="E324" s="252"/>
    </row>
    <row r="325">
      <c r="C325" s="252"/>
      <c r="E325" s="252"/>
    </row>
    <row r="326">
      <c r="C326" s="252"/>
      <c r="E326" s="252"/>
    </row>
    <row r="327">
      <c r="C327" s="252"/>
      <c r="E327" s="252"/>
    </row>
    <row r="328">
      <c r="C328" s="252"/>
      <c r="E328" s="252"/>
    </row>
    <row r="329">
      <c r="C329" s="252"/>
      <c r="E329" s="252"/>
    </row>
    <row r="330">
      <c r="C330" s="252"/>
      <c r="E330" s="252"/>
    </row>
    <row r="331">
      <c r="C331" s="252"/>
      <c r="E331" s="252"/>
    </row>
    <row r="332">
      <c r="C332" s="252"/>
      <c r="E332" s="252"/>
    </row>
    <row r="333">
      <c r="C333" s="252"/>
      <c r="E333" s="252"/>
    </row>
    <row r="334">
      <c r="C334" s="252"/>
      <c r="E334" s="252"/>
    </row>
    <row r="335">
      <c r="C335" s="252"/>
      <c r="E335" s="252"/>
    </row>
    <row r="336">
      <c r="C336" s="252"/>
      <c r="E336" s="252"/>
    </row>
    <row r="337">
      <c r="C337" s="252"/>
      <c r="E337" s="252"/>
    </row>
    <row r="338">
      <c r="C338" s="252"/>
      <c r="E338" s="252"/>
    </row>
    <row r="339">
      <c r="C339" s="252"/>
      <c r="E339" s="252"/>
    </row>
    <row r="340">
      <c r="C340" s="252"/>
      <c r="E340" s="252"/>
    </row>
    <row r="341">
      <c r="C341" s="252"/>
      <c r="E341" s="252"/>
    </row>
    <row r="342">
      <c r="C342" s="252"/>
      <c r="E342" s="252"/>
    </row>
    <row r="343">
      <c r="C343" s="252"/>
      <c r="E343" s="252"/>
    </row>
    <row r="344">
      <c r="C344" s="252"/>
      <c r="E344" s="252"/>
    </row>
    <row r="345">
      <c r="C345" s="252"/>
      <c r="E345" s="252"/>
    </row>
    <row r="346">
      <c r="C346" s="252"/>
      <c r="E346" s="252"/>
    </row>
    <row r="347">
      <c r="C347" s="252"/>
      <c r="E347" s="252"/>
    </row>
    <row r="348">
      <c r="C348" s="252"/>
      <c r="E348" s="252"/>
    </row>
    <row r="349">
      <c r="C349" s="252"/>
      <c r="E349" s="252"/>
    </row>
    <row r="350">
      <c r="C350" s="252"/>
      <c r="E350" s="252"/>
    </row>
    <row r="351">
      <c r="C351" s="252"/>
      <c r="E351" s="252"/>
    </row>
    <row r="352">
      <c r="C352" s="252"/>
      <c r="E352" s="252"/>
    </row>
    <row r="353">
      <c r="C353" s="252"/>
      <c r="E353" s="252"/>
    </row>
    <row r="354">
      <c r="C354" s="252"/>
      <c r="E354" s="252"/>
    </row>
    <row r="355">
      <c r="C355" s="252"/>
      <c r="E355" s="252"/>
    </row>
    <row r="356">
      <c r="C356" s="252"/>
      <c r="E356" s="252"/>
    </row>
    <row r="357">
      <c r="C357" s="252"/>
      <c r="E357" s="252"/>
    </row>
    <row r="358">
      <c r="C358" s="252"/>
      <c r="E358" s="252"/>
    </row>
    <row r="359">
      <c r="C359" s="252"/>
      <c r="E359" s="252"/>
    </row>
    <row r="360">
      <c r="C360" s="252"/>
      <c r="E360" s="252"/>
    </row>
    <row r="361">
      <c r="C361" s="252"/>
      <c r="E361" s="252"/>
    </row>
    <row r="362">
      <c r="C362" s="252"/>
      <c r="E362" s="252"/>
    </row>
    <row r="363">
      <c r="C363" s="252"/>
      <c r="E363" s="252"/>
    </row>
    <row r="364">
      <c r="C364" s="252"/>
      <c r="E364" s="252"/>
    </row>
    <row r="365">
      <c r="C365" s="252"/>
      <c r="E365" s="252"/>
    </row>
    <row r="366">
      <c r="C366" s="252"/>
      <c r="E366" s="252"/>
    </row>
    <row r="367">
      <c r="C367" s="252"/>
      <c r="E367" s="252"/>
    </row>
    <row r="368">
      <c r="C368" s="252"/>
      <c r="E368" s="252"/>
    </row>
    <row r="369">
      <c r="C369" s="252"/>
      <c r="E369" s="252"/>
    </row>
    <row r="370">
      <c r="C370" s="252"/>
      <c r="E370" s="252"/>
    </row>
    <row r="371">
      <c r="C371" s="252"/>
      <c r="E371" s="252"/>
    </row>
    <row r="372">
      <c r="C372" s="252"/>
      <c r="E372" s="252"/>
    </row>
    <row r="373">
      <c r="C373" s="252"/>
      <c r="E373" s="252"/>
    </row>
    <row r="374">
      <c r="C374" s="252"/>
      <c r="E374" s="252"/>
    </row>
    <row r="375">
      <c r="C375" s="252"/>
      <c r="E375" s="252"/>
    </row>
    <row r="376">
      <c r="C376" s="252"/>
      <c r="E376" s="252"/>
    </row>
    <row r="377">
      <c r="C377" s="252"/>
      <c r="E377" s="252"/>
    </row>
    <row r="378">
      <c r="C378" s="252"/>
      <c r="E378" s="252"/>
    </row>
    <row r="379">
      <c r="C379" s="252"/>
      <c r="E379" s="252"/>
    </row>
    <row r="380">
      <c r="C380" s="252"/>
      <c r="E380" s="252"/>
    </row>
    <row r="381">
      <c r="C381" s="252"/>
      <c r="E381" s="252"/>
    </row>
    <row r="382">
      <c r="C382" s="252"/>
      <c r="E382" s="252"/>
    </row>
    <row r="383">
      <c r="C383" s="252"/>
      <c r="E383" s="252"/>
    </row>
    <row r="384">
      <c r="C384" s="252"/>
      <c r="E384" s="252"/>
    </row>
    <row r="385">
      <c r="C385" s="252"/>
      <c r="E385" s="252"/>
    </row>
    <row r="386">
      <c r="C386" s="252"/>
      <c r="E386" s="252"/>
    </row>
    <row r="387">
      <c r="C387" s="252"/>
      <c r="E387" s="252"/>
    </row>
    <row r="388">
      <c r="C388" s="252"/>
      <c r="E388" s="252"/>
    </row>
    <row r="389">
      <c r="C389" s="252"/>
      <c r="E389" s="252"/>
    </row>
    <row r="390">
      <c r="C390" s="252"/>
      <c r="E390" s="252"/>
    </row>
    <row r="391">
      <c r="C391" s="252"/>
      <c r="E391" s="252"/>
    </row>
    <row r="392">
      <c r="C392" s="252"/>
      <c r="E392" s="252"/>
    </row>
    <row r="393">
      <c r="C393" s="252"/>
      <c r="E393" s="252"/>
    </row>
    <row r="394">
      <c r="C394" s="252"/>
      <c r="E394" s="252"/>
    </row>
    <row r="395">
      <c r="C395" s="252"/>
      <c r="E395" s="252"/>
    </row>
    <row r="396">
      <c r="C396" s="252"/>
      <c r="E396" s="252"/>
    </row>
    <row r="397">
      <c r="C397" s="252"/>
      <c r="E397" s="252"/>
    </row>
    <row r="398">
      <c r="C398" s="252"/>
      <c r="E398" s="252"/>
    </row>
    <row r="399">
      <c r="C399" s="252"/>
      <c r="E399" s="252"/>
    </row>
    <row r="400">
      <c r="C400" s="252"/>
      <c r="E400" s="252"/>
    </row>
    <row r="401">
      <c r="C401" s="252"/>
      <c r="E401" s="252"/>
    </row>
    <row r="402">
      <c r="C402" s="252"/>
      <c r="E402" s="252"/>
    </row>
    <row r="403">
      <c r="C403" s="252"/>
      <c r="E403" s="252"/>
    </row>
    <row r="404">
      <c r="C404" s="252"/>
      <c r="E404" s="252"/>
    </row>
    <row r="405">
      <c r="C405" s="252"/>
      <c r="E405" s="252"/>
    </row>
    <row r="406">
      <c r="C406" s="252"/>
      <c r="E406" s="252"/>
    </row>
    <row r="407">
      <c r="C407" s="252"/>
      <c r="E407" s="252"/>
    </row>
    <row r="408">
      <c r="C408" s="252"/>
      <c r="E408" s="252"/>
    </row>
    <row r="409">
      <c r="C409" s="252"/>
      <c r="E409" s="252"/>
    </row>
    <row r="410">
      <c r="C410" s="252"/>
      <c r="E410" s="252"/>
    </row>
    <row r="411">
      <c r="C411" s="252"/>
      <c r="E411" s="252"/>
    </row>
    <row r="412">
      <c r="C412" s="252"/>
      <c r="E412" s="252"/>
    </row>
    <row r="413">
      <c r="C413" s="252"/>
      <c r="E413" s="252"/>
    </row>
    <row r="414">
      <c r="C414" s="252"/>
      <c r="E414" s="252"/>
    </row>
    <row r="415">
      <c r="C415" s="252"/>
      <c r="E415" s="252"/>
    </row>
    <row r="416">
      <c r="C416" s="252"/>
      <c r="E416" s="252"/>
    </row>
    <row r="417">
      <c r="C417" s="252"/>
      <c r="E417" s="252"/>
    </row>
    <row r="418">
      <c r="C418" s="252"/>
      <c r="E418" s="252"/>
    </row>
    <row r="419">
      <c r="C419" s="252"/>
      <c r="E419" s="252"/>
    </row>
    <row r="420">
      <c r="C420" s="252"/>
      <c r="E420" s="252"/>
    </row>
    <row r="421">
      <c r="C421" s="252"/>
      <c r="E421" s="252"/>
    </row>
    <row r="422">
      <c r="C422" s="252"/>
      <c r="E422" s="252"/>
    </row>
    <row r="423">
      <c r="C423" s="252"/>
      <c r="E423" s="252"/>
    </row>
    <row r="424">
      <c r="C424" s="252"/>
      <c r="E424" s="252"/>
    </row>
    <row r="425">
      <c r="C425" s="252"/>
      <c r="E425" s="252"/>
    </row>
    <row r="426">
      <c r="C426" s="252"/>
      <c r="E426" s="252"/>
    </row>
    <row r="427">
      <c r="C427" s="252"/>
      <c r="E427" s="252"/>
    </row>
    <row r="428">
      <c r="C428" s="252"/>
      <c r="E428" s="252"/>
    </row>
    <row r="429">
      <c r="C429" s="252"/>
      <c r="E429" s="252"/>
    </row>
    <row r="430">
      <c r="C430" s="252"/>
      <c r="E430" s="252"/>
    </row>
    <row r="431">
      <c r="C431" s="252"/>
      <c r="E431" s="252"/>
    </row>
    <row r="432">
      <c r="C432" s="252"/>
      <c r="E432" s="252"/>
    </row>
    <row r="433">
      <c r="C433" s="252"/>
      <c r="E433" s="252"/>
    </row>
    <row r="434">
      <c r="C434" s="252"/>
      <c r="E434" s="252"/>
    </row>
    <row r="435">
      <c r="C435" s="252"/>
      <c r="E435" s="252"/>
    </row>
    <row r="436">
      <c r="C436" s="252"/>
      <c r="E436" s="252"/>
    </row>
    <row r="437">
      <c r="C437" s="252"/>
      <c r="E437" s="252"/>
    </row>
    <row r="438">
      <c r="C438" s="252"/>
      <c r="E438" s="252"/>
    </row>
    <row r="439">
      <c r="C439" s="252"/>
      <c r="E439" s="252"/>
    </row>
    <row r="440">
      <c r="C440" s="252"/>
      <c r="E440" s="252"/>
    </row>
    <row r="441">
      <c r="C441" s="252"/>
      <c r="E441" s="252"/>
    </row>
    <row r="442">
      <c r="C442" s="252"/>
      <c r="E442" s="252"/>
    </row>
    <row r="443">
      <c r="C443" s="252"/>
      <c r="E443" s="252"/>
    </row>
    <row r="444">
      <c r="C444" s="252"/>
      <c r="E444" s="252"/>
    </row>
    <row r="445">
      <c r="C445" s="252"/>
      <c r="E445" s="252"/>
    </row>
    <row r="446">
      <c r="C446" s="252"/>
      <c r="E446" s="252"/>
    </row>
    <row r="447">
      <c r="C447" s="252"/>
      <c r="E447" s="252"/>
    </row>
    <row r="448">
      <c r="C448" s="252"/>
      <c r="E448" s="252"/>
    </row>
    <row r="449">
      <c r="C449" s="252"/>
      <c r="E449" s="252"/>
    </row>
    <row r="450">
      <c r="C450" s="252"/>
      <c r="E450" s="252"/>
    </row>
    <row r="451">
      <c r="C451" s="252"/>
      <c r="E451" s="252"/>
    </row>
    <row r="452">
      <c r="C452" s="252"/>
      <c r="E452" s="252"/>
    </row>
    <row r="453">
      <c r="C453" s="252"/>
      <c r="E453" s="252"/>
    </row>
    <row r="454">
      <c r="C454" s="252"/>
      <c r="E454" s="252"/>
    </row>
    <row r="455">
      <c r="C455" s="252"/>
      <c r="E455" s="252"/>
    </row>
    <row r="456">
      <c r="C456" s="252"/>
      <c r="E456" s="252"/>
    </row>
    <row r="457">
      <c r="C457" s="252"/>
      <c r="E457" s="252"/>
    </row>
    <row r="458">
      <c r="C458" s="252"/>
      <c r="E458" s="252"/>
    </row>
    <row r="459">
      <c r="C459" s="252"/>
      <c r="E459" s="252"/>
    </row>
    <row r="460">
      <c r="C460" s="252"/>
      <c r="E460" s="252"/>
    </row>
    <row r="461">
      <c r="C461" s="252"/>
      <c r="E461" s="252"/>
    </row>
    <row r="462">
      <c r="C462" s="252"/>
      <c r="E462" s="252"/>
    </row>
    <row r="463">
      <c r="C463" s="252"/>
      <c r="E463" s="252"/>
    </row>
    <row r="464">
      <c r="C464" s="252"/>
      <c r="E464" s="252"/>
    </row>
    <row r="465">
      <c r="C465" s="252"/>
      <c r="E465" s="252"/>
    </row>
    <row r="466">
      <c r="C466" s="252"/>
      <c r="E466" s="252"/>
    </row>
    <row r="467">
      <c r="C467" s="252"/>
      <c r="E467" s="252"/>
    </row>
    <row r="468">
      <c r="C468" s="252"/>
      <c r="E468" s="252"/>
    </row>
    <row r="469">
      <c r="C469" s="252"/>
      <c r="E469" s="252"/>
    </row>
    <row r="470">
      <c r="C470" s="252"/>
      <c r="E470" s="252"/>
    </row>
    <row r="471">
      <c r="C471" s="252"/>
      <c r="E471" s="252"/>
    </row>
    <row r="472">
      <c r="C472" s="252"/>
      <c r="E472" s="252"/>
    </row>
    <row r="473">
      <c r="C473" s="252"/>
      <c r="E473" s="252"/>
    </row>
    <row r="474">
      <c r="C474" s="252"/>
      <c r="E474" s="252"/>
    </row>
    <row r="475">
      <c r="C475" s="252"/>
      <c r="E475" s="252"/>
    </row>
    <row r="476">
      <c r="C476" s="252"/>
      <c r="E476" s="252"/>
    </row>
    <row r="477">
      <c r="C477" s="252"/>
      <c r="E477" s="252"/>
    </row>
    <row r="478">
      <c r="C478" s="252"/>
      <c r="E478" s="252"/>
    </row>
    <row r="479">
      <c r="C479" s="252"/>
      <c r="E479" s="252"/>
    </row>
    <row r="480">
      <c r="C480" s="252"/>
      <c r="E480" s="252"/>
    </row>
    <row r="481">
      <c r="C481" s="252"/>
      <c r="E481" s="252"/>
    </row>
    <row r="482">
      <c r="C482" s="252"/>
      <c r="E482" s="252"/>
    </row>
    <row r="483">
      <c r="C483" s="252"/>
      <c r="E483" s="252"/>
    </row>
    <row r="484">
      <c r="C484" s="252"/>
      <c r="E484" s="252"/>
    </row>
    <row r="485">
      <c r="C485" s="252"/>
      <c r="E485" s="252"/>
    </row>
    <row r="486">
      <c r="C486" s="252"/>
      <c r="E486" s="252"/>
    </row>
    <row r="487">
      <c r="C487" s="252"/>
      <c r="E487" s="252"/>
    </row>
    <row r="488">
      <c r="C488" s="252"/>
      <c r="E488" s="252"/>
    </row>
    <row r="489">
      <c r="C489" s="252"/>
      <c r="E489" s="252"/>
    </row>
    <row r="490">
      <c r="C490" s="252"/>
      <c r="E490" s="252"/>
    </row>
    <row r="491">
      <c r="C491" s="252"/>
      <c r="E491" s="252"/>
    </row>
    <row r="492">
      <c r="C492" s="252"/>
      <c r="E492" s="252"/>
    </row>
    <row r="493">
      <c r="C493" s="252"/>
      <c r="E493" s="252"/>
    </row>
    <row r="494">
      <c r="C494" s="252"/>
      <c r="E494" s="252"/>
    </row>
    <row r="495">
      <c r="C495" s="252"/>
      <c r="E495" s="252"/>
    </row>
    <row r="496">
      <c r="C496" s="252"/>
      <c r="E496" s="252"/>
    </row>
    <row r="497">
      <c r="C497" s="252"/>
      <c r="E497" s="252"/>
    </row>
    <row r="498">
      <c r="C498" s="252"/>
      <c r="E498" s="252"/>
    </row>
    <row r="499">
      <c r="C499" s="252"/>
      <c r="E499" s="252"/>
    </row>
    <row r="500">
      <c r="C500" s="252"/>
      <c r="E500" s="252"/>
    </row>
    <row r="501">
      <c r="C501" s="252"/>
      <c r="E501" s="252"/>
    </row>
    <row r="502">
      <c r="C502" s="252"/>
      <c r="E502" s="252"/>
    </row>
    <row r="503">
      <c r="C503" s="252"/>
      <c r="E503" s="252"/>
    </row>
    <row r="504">
      <c r="C504" s="252"/>
      <c r="E504" s="252"/>
    </row>
    <row r="505">
      <c r="C505" s="252"/>
      <c r="E505" s="252"/>
    </row>
    <row r="506">
      <c r="C506" s="252"/>
      <c r="E506" s="252"/>
    </row>
    <row r="507">
      <c r="C507" s="252"/>
      <c r="E507" s="252"/>
    </row>
    <row r="508">
      <c r="C508" s="252"/>
      <c r="E508" s="252"/>
    </row>
    <row r="509">
      <c r="C509" s="252"/>
      <c r="E509" s="252"/>
    </row>
    <row r="510">
      <c r="C510" s="252"/>
      <c r="E510" s="252"/>
    </row>
    <row r="511">
      <c r="C511" s="252"/>
      <c r="E511" s="252"/>
    </row>
    <row r="512">
      <c r="C512" s="252"/>
      <c r="E512" s="252"/>
    </row>
    <row r="513">
      <c r="C513" s="252"/>
      <c r="E513" s="252"/>
    </row>
    <row r="514">
      <c r="C514" s="252"/>
      <c r="E514" s="252"/>
    </row>
    <row r="515">
      <c r="C515" s="252"/>
      <c r="E515" s="252"/>
    </row>
    <row r="516">
      <c r="C516" s="252"/>
      <c r="E516" s="252"/>
    </row>
    <row r="517">
      <c r="C517" s="252"/>
      <c r="E517" s="252"/>
    </row>
    <row r="518">
      <c r="C518" s="252"/>
      <c r="E518" s="252"/>
    </row>
    <row r="519">
      <c r="C519" s="252"/>
      <c r="E519" s="252"/>
    </row>
    <row r="520">
      <c r="C520" s="252"/>
      <c r="E520" s="252"/>
    </row>
    <row r="521">
      <c r="C521" s="252"/>
      <c r="E521" s="252"/>
    </row>
    <row r="522">
      <c r="C522" s="252"/>
      <c r="E522" s="252"/>
    </row>
    <row r="523">
      <c r="C523" s="252"/>
      <c r="E523" s="252"/>
    </row>
    <row r="524">
      <c r="C524" s="252"/>
      <c r="E524" s="252"/>
    </row>
    <row r="525">
      <c r="C525" s="252"/>
      <c r="E525" s="252"/>
    </row>
    <row r="526">
      <c r="C526" s="252"/>
      <c r="E526" s="252"/>
    </row>
    <row r="527">
      <c r="C527" s="252"/>
      <c r="E527" s="252"/>
    </row>
    <row r="528">
      <c r="C528" s="252"/>
      <c r="E528" s="252"/>
    </row>
    <row r="529">
      <c r="C529" s="252"/>
      <c r="E529" s="252"/>
    </row>
    <row r="530">
      <c r="C530" s="252"/>
      <c r="E530" s="252"/>
    </row>
    <row r="531">
      <c r="C531" s="252"/>
      <c r="E531" s="252"/>
    </row>
    <row r="532">
      <c r="C532" s="252"/>
      <c r="E532" s="252"/>
    </row>
    <row r="533">
      <c r="C533" s="252"/>
      <c r="E533" s="252"/>
    </row>
    <row r="534">
      <c r="C534" s="252"/>
      <c r="E534" s="252"/>
    </row>
    <row r="535">
      <c r="C535" s="252"/>
      <c r="E535" s="252"/>
    </row>
    <row r="536">
      <c r="C536" s="252"/>
      <c r="E536" s="252"/>
    </row>
    <row r="537">
      <c r="C537" s="252"/>
      <c r="E537" s="252"/>
    </row>
    <row r="538">
      <c r="C538" s="252"/>
      <c r="E538" s="252"/>
    </row>
    <row r="539">
      <c r="C539" s="252"/>
      <c r="E539" s="252"/>
    </row>
    <row r="540">
      <c r="C540" s="252"/>
      <c r="E540" s="252"/>
    </row>
    <row r="541">
      <c r="C541" s="252"/>
      <c r="E541" s="252"/>
    </row>
    <row r="542">
      <c r="C542" s="252"/>
      <c r="E542" s="252"/>
    </row>
    <row r="543">
      <c r="C543" s="252"/>
      <c r="E543" s="252"/>
    </row>
    <row r="544">
      <c r="C544" s="252"/>
      <c r="E544" s="252"/>
    </row>
    <row r="545">
      <c r="C545" s="252"/>
      <c r="E545" s="252"/>
    </row>
    <row r="546">
      <c r="C546" s="252"/>
      <c r="E546" s="252"/>
    </row>
    <row r="547">
      <c r="C547" s="252"/>
      <c r="E547" s="252"/>
    </row>
    <row r="548">
      <c r="C548" s="252"/>
      <c r="E548" s="252"/>
    </row>
    <row r="549">
      <c r="C549" s="252"/>
      <c r="E549" s="252"/>
    </row>
    <row r="550">
      <c r="C550" s="252"/>
      <c r="E550" s="252"/>
    </row>
    <row r="551">
      <c r="C551" s="252"/>
      <c r="E551" s="252"/>
    </row>
    <row r="552">
      <c r="C552" s="252"/>
      <c r="E552" s="252"/>
    </row>
    <row r="553">
      <c r="C553" s="252"/>
      <c r="E553" s="252"/>
    </row>
    <row r="554">
      <c r="C554" s="252"/>
      <c r="E554" s="252"/>
    </row>
    <row r="555">
      <c r="C555" s="252"/>
      <c r="E555" s="252"/>
    </row>
    <row r="556">
      <c r="C556" s="252"/>
      <c r="E556" s="252"/>
    </row>
    <row r="557">
      <c r="C557" s="252"/>
      <c r="E557" s="252"/>
    </row>
    <row r="558">
      <c r="C558" s="252"/>
      <c r="E558" s="252"/>
    </row>
    <row r="559">
      <c r="C559" s="252"/>
      <c r="E559" s="252"/>
    </row>
    <row r="560">
      <c r="C560" s="252"/>
      <c r="E560" s="252"/>
    </row>
    <row r="561">
      <c r="C561" s="252"/>
      <c r="E561" s="252"/>
    </row>
    <row r="562">
      <c r="C562" s="252"/>
      <c r="E562" s="252"/>
    </row>
    <row r="563">
      <c r="C563" s="252"/>
      <c r="E563" s="252"/>
    </row>
    <row r="564">
      <c r="C564" s="252"/>
      <c r="E564" s="252"/>
    </row>
    <row r="565">
      <c r="C565" s="252"/>
      <c r="E565" s="252"/>
    </row>
    <row r="566">
      <c r="C566" s="252"/>
      <c r="E566" s="252"/>
    </row>
    <row r="567">
      <c r="C567" s="252"/>
      <c r="E567" s="252"/>
    </row>
    <row r="568">
      <c r="C568" s="252"/>
      <c r="E568" s="252"/>
    </row>
    <row r="569">
      <c r="C569" s="252"/>
      <c r="E569" s="252"/>
    </row>
    <row r="570">
      <c r="C570" s="252"/>
      <c r="E570" s="252"/>
    </row>
    <row r="571">
      <c r="C571" s="252"/>
      <c r="E571" s="252"/>
    </row>
    <row r="572">
      <c r="C572" s="252"/>
      <c r="E572" s="252"/>
    </row>
    <row r="573">
      <c r="C573" s="252"/>
      <c r="E573" s="252"/>
    </row>
    <row r="574">
      <c r="C574" s="252"/>
      <c r="E574" s="252"/>
    </row>
    <row r="575">
      <c r="C575" s="252"/>
      <c r="E575" s="252"/>
    </row>
    <row r="576">
      <c r="C576" s="252"/>
      <c r="E576" s="252"/>
    </row>
    <row r="577">
      <c r="C577" s="252"/>
      <c r="E577" s="252"/>
    </row>
    <row r="578">
      <c r="C578" s="252"/>
      <c r="E578" s="252"/>
    </row>
    <row r="579">
      <c r="C579" s="252"/>
      <c r="E579" s="252"/>
    </row>
    <row r="580">
      <c r="C580" s="252"/>
      <c r="E580" s="252"/>
    </row>
    <row r="581">
      <c r="C581" s="252"/>
      <c r="E581" s="252"/>
    </row>
    <row r="582">
      <c r="C582" s="252"/>
      <c r="E582" s="252"/>
    </row>
    <row r="583">
      <c r="C583" s="252"/>
      <c r="E583" s="252"/>
    </row>
    <row r="584">
      <c r="C584" s="252"/>
      <c r="E584" s="252"/>
    </row>
    <row r="585">
      <c r="C585" s="252"/>
      <c r="E585" s="252"/>
    </row>
    <row r="586">
      <c r="C586" s="252"/>
      <c r="E586" s="252"/>
    </row>
    <row r="587">
      <c r="C587" s="252"/>
      <c r="E587" s="252"/>
    </row>
    <row r="588">
      <c r="C588" s="252"/>
      <c r="E588" s="252"/>
    </row>
    <row r="589">
      <c r="C589" s="252"/>
      <c r="E589" s="252"/>
    </row>
    <row r="590">
      <c r="C590" s="252"/>
      <c r="E590" s="252"/>
    </row>
    <row r="591">
      <c r="C591" s="252"/>
      <c r="E591" s="252"/>
    </row>
    <row r="592">
      <c r="C592" s="252"/>
      <c r="E592" s="252"/>
    </row>
    <row r="593">
      <c r="C593" s="252"/>
      <c r="E593" s="252"/>
    </row>
    <row r="594">
      <c r="C594" s="252"/>
      <c r="E594" s="252"/>
    </row>
    <row r="595">
      <c r="C595" s="252"/>
      <c r="E595" s="252"/>
    </row>
    <row r="596">
      <c r="C596" s="252"/>
      <c r="E596" s="252"/>
    </row>
    <row r="597">
      <c r="C597" s="252"/>
      <c r="E597" s="252"/>
    </row>
    <row r="598">
      <c r="C598" s="252"/>
      <c r="E598" s="252"/>
    </row>
    <row r="599">
      <c r="C599" s="252"/>
      <c r="E599" s="252"/>
    </row>
    <row r="600">
      <c r="C600" s="252"/>
      <c r="E600" s="252"/>
    </row>
    <row r="601">
      <c r="C601" s="252"/>
      <c r="E601" s="252"/>
    </row>
    <row r="602">
      <c r="C602" s="252"/>
      <c r="E602" s="252"/>
    </row>
    <row r="603">
      <c r="C603" s="252"/>
      <c r="E603" s="252"/>
    </row>
    <row r="604">
      <c r="C604" s="252"/>
      <c r="E604" s="252"/>
    </row>
    <row r="605">
      <c r="C605" s="252"/>
      <c r="E605" s="252"/>
    </row>
    <row r="606">
      <c r="C606" s="252"/>
      <c r="E606" s="252"/>
    </row>
    <row r="607">
      <c r="C607" s="252"/>
      <c r="E607" s="252"/>
    </row>
    <row r="608">
      <c r="C608" s="252"/>
      <c r="E608" s="252"/>
    </row>
    <row r="609">
      <c r="C609" s="252"/>
      <c r="E609" s="252"/>
    </row>
    <row r="610">
      <c r="C610" s="252"/>
      <c r="E610" s="252"/>
    </row>
    <row r="611">
      <c r="C611" s="252"/>
      <c r="E611" s="252"/>
    </row>
    <row r="612">
      <c r="C612" s="252"/>
      <c r="E612" s="252"/>
    </row>
    <row r="613">
      <c r="C613" s="252"/>
      <c r="E613" s="252"/>
    </row>
    <row r="614">
      <c r="C614" s="252"/>
      <c r="E614" s="252"/>
    </row>
    <row r="615">
      <c r="C615" s="252"/>
      <c r="E615" s="252"/>
    </row>
    <row r="616">
      <c r="C616" s="252"/>
      <c r="E616" s="252"/>
    </row>
    <row r="617">
      <c r="C617" s="252"/>
      <c r="E617" s="252"/>
    </row>
    <row r="618">
      <c r="C618" s="252"/>
      <c r="E618" s="252"/>
    </row>
    <row r="619">
      <c r="C619" s="252"/>
      <c r="E619" s="252"/>
    </row>
    <row r="620">
      <c r="C620" s="252"/>
      <c r="E620" s="252"/>
    </row>
    <row r="621">
      <c r="C621" s="252"/>
      <c r="E621" s="252"/>
    </row>
    <row r="622">
      <c r="C622" s="252"/>
      <c r="E622" s="252"/>
    </row>
    <row r="623">
      <c r="C623" s="252"/>
      <c r="E623" s="252"/>
    </row>
    <row r="624">
      <c r="C624" s="252"/>
      <c r="E624" s="252"/>
    </row>
    <row r="625">
      <c r="C625" s="252"/>
      <c r="E625" s="252"/>
    </row>
    <row r="626">
      <c r="C626" s="252"/>
      <c r="E626" s="252"/>
    </row>
    <row r="627">
      <c r="C627" s="252"/>
      <c r="E627" s="252"/>
    </row>
    <row r="628">
      <c r="C628" s="252"/>
      <c r="E628" s="252"/>
    </row>
    <row r="629">
      <c r="C629" s="252"/>
      <c r="E629" s="252"/>
    </row>
    <row r="630">
      <c r="C630" s="252"/>
      <c r="E630" s="252"/>
    </row>
    <row r="631">
      <c r="C631" s="252"/>
      <c r="E631" s="252"/>
    </row>
    <row r="632">
      <c r="C632" s="252"/>
      <c r="E632" s="252"/>
    </row>
    <row r="633">
      <c r="C633" s="252"/>
      <c r="E633" s="252"/>
    </row>
    <row r="634">
      <c r="C634" s="252"/>
      <c r="E634" s="252"/>
    </row>
    <row r="635">
      <c r="C635" s="252"/>
      <c r="E635" s="252"/>
    </row>
    <row r="636">
      <c r="C636" s="252"/>
      <c r="E636" s="252"/>
    </row>
    <row r="637">
      <c r="C637" s="252"/>
      <c r="E637" s="252"/>
    </row>
    <row r="638">
      <c r="C638" s="252"/>
      <c r="E638" s="252"/>
    </row>
    <row r="639">
      <c r="C639" s="252"/>
      <c r="E639" s="252"/>
    </row>
    <row r="640">
      <c r="C640" s="252"/>
      <c r="E640" s="252"/>
    </row>
    <row r="641">
      <c r="C641" s="252"/>
      <c r="E641" s="252"/>
    </row>
    <row r="642">
      <c r="C642" s="252"/>
      <c r="E642" s="252"/>
    </row>
    <row r="643">
      <c r="C643" s="252"/>
      <c r="E643" s="252"/>
    </row>
    <row r="644">
      <c r="C644" s="252"/>
      <c r="E644" s="252"/>
    </row>
    <row r="645">
      <c r="C645" s="252"/>
      <c r="E645" s="252"/>
    </row>
    <row r="646">
      <c r="C646" s="252"/>
      <c r="E646" s="252"/>
    </row>
    <row r="647">
      <c r="C647" s="252"/>
      <c r="E647" s="252"/>
    </row>
    <row r="648">
      <c r="C648" s="252"/>
      <c r="E648" s="252"/>
    </row>
    <row r="649">
      <c r="C649" s="252"/>
      <c r="E649" s="252"/>
    </row>
    <row r="650">
      <c r="C650" s="252"/>
      <c r="E650" s="252"/>
    </row>
    <row r="651">
      <c r="C651" s="252"/>
      <c r="E651" s="252"/>
    </row>
    <row r="652">
      <c r="C652" s="252"/>
      <c r="E652" s="252"/>
    </row>
    <row r="653">
      <c r="C653" s="252"/>
      <c r="E653" s="252"/>
    </row>
    <row r="654">
      <c r="C654" s="252"/>
      <c r="E654" s="252"/>
    </row>
    <row r="655">
      <c r="C655" s="252"/>
      <c r="E655" s="252"/>
    </row>
    <row r="656">
      <c r="C656" s="252"/>
      <c r="E656" s="252"/>
    </row>
    <row r="657">
      <c r="C657" s="252"/>
      <c r="E657" s="252"/>
    </row>
    <row r="658">
      <c r="C658" s="252"/>
      <c r="E658" s="252"/>
    </row>
    <row r="659">
      <c r="C659" s="252"/>
      <c r="E659" s="252"/>
    </row>
    <row r="660">
      <c r="C660" s="252"/>
      <c r="E660" s="252"/>
    </row>
    <row r="661">
      <c r="C661" s="252"/>
      <c r="E661" s="252"/>
    </row>
    <row r="662">
      <c r="C662" s="252"/>
      <c r="E662" s="252"/>
    </row>
    <row r="663">
      <c r="C663" s="252"/>
      <c r="E663" s="252"/>
    </row>
    <row r="664">
      <c r="C664" s="252"/>
      <c r="E664" s="252"/>
    </row>
    <row r="665">
      <c r="C665" s="252"/>
      <c r="E665" s="252"/>
    </row>
    <row r="666">
      <c r="C666" s="252"/>
      <c r="E666" s="252"/>
    </row>
    <row r="667">
      <c r="C667" s="252"/>
      <c r="E667" s="252"/>
    </row>
    <row r="668">
      <c r="C668" s="252"/>
      <c r="E668" s="252"/>
    </row>
    <row r="669">
      <c r="C669" s="252"/>
      <c r="E669" s="252"/>
    </row>
    <row r="670">
      <c r="C670" s="252"/>
      <c r="E670" s="252"/>
    </row>
    <row r="671">
      <c r="C671" s="252"/>
      <c r="E671" s="252"/>
    </row>
    <row r="672">
      <c r="C672" s="252"/>
      <c r="E672" s="252"/>
    </row>
    <row r="673">
      <c r="C673" s="252"/>
      <c r="E673" s="252"/>
    </row>
    <row r="674">
      <c r="C674" s="252"/>
      <c r="E674" s="252"/>
    </row>
    <row r="675">
      <c r="C675" s="252"/>
      <c r="E675" s="252"/>
    </row>
    <row r="676">
      <c r="C676" s="252"/>
      <c r="E676" s="252"/>
    </row>
    <row r="677">
      <c r="C677" s="252"/>
      <c r="E677" s="252"/>
    </row>
    <row r="678">
      <c r="C678" s="252"/>
      <c r="E678" s="252"/>
    </row>
    <row r="679">
      <c r="C679" s="252"/>
      <c r="E679" s="252"/>
    </row>
    <row r="680">
      <c r="C680" s="252"/>
      <c r="E680" s="252"/>
    </row>
    <row r="681">
      <c r="C681" s="252"/>
      <c r="E681" s="252"/>
    </row>
    <row r="682">
      <c r="C682" s="252"/>
      <c r="E682" s="252"/>
    </row>
    <row r="683">
      <c r="C683" s="252"/>
      <c r="E683" s="252"/>
    </row>
    <row r="684">
      <c r="C684" s="252"/>
      <c r="E684" s="252"/>
    </row>
    <row r="685">
      <c r="C685" s="252"/>
      <c r="E685" s="252"/>
    </row>
    <row r="686">
      <c r="C686" s="252"/>
      <c r="E686" s="252"/>
    </row>
    <row r="687">
      <c r="C687" s="252"/>
      <c r="E687" s="252"/>
    </row>
    <row r="688">
      <c r="C688" s="252"/>
      <c r="E688" s="252"/>
    </row>
    <row r="689">
      <c r="C689" s="252"/>
      <c r="E689" s="252"/>
    </row>
    <row r="690">
      <c r="C690" s="252"/>
      <c r="E690" s="252"/>
    </row>
    <row r="691">
      <c r="C691" s="252"/>
      <c r="E691" s="252"/>
    </row>
    <row r="692">
      <c r="C692" s="252"/>
      <c r="E692" s="252"/>
    </row>
    <row r="693">
      <c r="C693" s="252"/>
      <c r="E693" s="252"/>
    </row>
    <row r="694">
      <c r="C694" s="252"/>
      <c r="E694" s="252"/>
    </row>
    <row r="695">
      <c r="C695" s="252"/>
      <c r="E695" s="252"/>
    </row>
    <row r="696">
      <c r="C696" s="252"/>
      <c r="E696" s="252"/>
    </row>
    <row r="697">
      <c r="C697" s="252"/>
      <c r="E697" s="252"/>
    </row>
    <row r="698">
      <c r="C698" s="252"/>
      <c r="E698" s="252"/>
    </row>
    <row r="699">
      <c r="C699" s="252"/>
      <c r="E699" s="252"/>
    </row>
    <row r="700">
      <c r="C700" s="252"/>
      <c r="E700" s="252"/>
    </row>
    <row r="701">
      <c r="C701" s="252"/>
      <c r="E701" s="252"/>
    </row>
    <row r="702">
      <c r="C702" s="252"/>
      <c r="E702" s="252"/>
    </row>
    <row r="703">
      <c r="C703" s="252"/>
      <c r="E703" s="252"/>
    </row>
    <row r="704">
      <c r="C704" s="252"/>
      <c r="E704" s="252"/>
    </row>
    <row r="705">
      <c r="C705" s="252"/>
      <c r="E705" s="252"/>
    </row>
    <row r="706">
      <c r="C706" s="252"/>
      <c r="E706" s="252"/>
    </row>
    <row r="707">
      <c r="C707" s="252"/>
      <c r="E707" s="252"/>
    </row>
    <row r="708">
      <c r="C708" s="252"/>
      <c r="E708" s="252"/>
    </row>
    <row r="709">
      <c r="C709" s="252"/>
      <c r="E709" s="252"/>
    </row>
    <row r="710">
      <c r="C710" s="252"/>
      <c r="E710" s="252"/>
    </row>
    <row r="711">
      <c r="C711" s="252"/>
      <c r="E711" s="252"/>
    </row>
    <row r="712">
      <c r="C712" s="252"/>
      <c r="E712" s="252"/>
    </row>
    <row r="713">
      <c r="C713" s="252"/>
      <c r="E713" s="252"/>
    </row>
    <row r="714">
      <c r="C714" s="252"/>
      <c r="E714" s="252"/>
    </row>
    <row r="715">
      <c r="C715" s="252"/>
      <c r="E715" s="252"/>
    </row>
    <row r="716">
      <c r="C716" s="252"/>
      <c r="E716" s="252"/>
    </row>
    <row r="717">
      <c r="C717" s="252"/>
      <c r="E717" s="252"/>
    </row>
    <row r="718">
      <c r="C718" s="252"/>
      <c r="E718" s="252"/>
    </row>
    <row r="719">
      <c r="C719" s="252"/>
      <c r="E719" s="252"/>
    </row>
    <row r="720">
      <c r="C720" s="252"/>
      <c r="E720" s="252"/>
    </row>
    <row r="721">
      <c r="C721" s="252"/>
      <c r="E721" s="252"/>
    </row>
    <row r="722">
      <c r="C722" s="252"/>
      <c r="E722" s="252"/>
    </row>
    <row r="723">
      <c r="C723" s="252"/>
      <c r="E723" s="252"/>
    </row>
    <row r="724">
      <c r="C724" s="252"/>
      <c r="E724" s="252"/>
    </row>
    <row r="725">
      <c r="C725" s="252"/>
      <c r="E725" s="252"/>
    </row>
    <row r="726">
      <c r="C726" s="252"/>
      <c r="E726" s="252"/>
    </row>
    <row r="727">
      <c r="C727" s="252"/>
      <c r="E727" s="252"/>
    </row>
    <row r="728">
      <c r="C728" s="252"/>
      <c r="E728" s="252"/>
    </row>
    <row r="729">
      <c r="C729" s="252"/>
      <c r="E729" s="252"/>
    </row>
    <row r="730">
      <c r="C730" s="252"/>
      <c r="E730" s="252"/>
    </row>
    <row r="731">
      <c r="C731" s="252"/>
      <c r="E731" s="252"/>
    </row>
    <row r="732">
      <c r="C732" s="252"/>
      <c r="E732" s="252"/>
    </row>
    <row r="733">
      <c r="C733" s="252"/>
      <c r="E733" s="252"/>
    </row>
    <row r="734">
      <c r="C734" s="252"/>
      <c r="E734" s="252"/>
    </row>
    <row r="735">
      <c r="C735" s="252"/>
      <c r="E735" s="252"/>
    </row>
    <row r="736">
      <c r="C736" s="252"/>
      <c r="E736" s="252"/>
    </row>
    <row r="737">
      <c r="C737" s="252"/>
      <c r="E737" s="252"/>
    </row>
    <row r="738">
      <c r="C738" s="252"/>
      <c r="E738" s="252"/>
    </row>
    <row r="739">
      <c r="C739" s="252"/>
      <c r="E739" s="252"/>
    </row>
    <row r="740">
      <c r="C740" s="252"/>
      <c r="E740" s="252"/>
    </row>
    <row r="741">
      <c r="C741" s="252"/>
      <c r="E741" s="252"/>
    </row>
    <row r="742">
      <c r="C742" s="252"/>
      <c r="E742" s="252"/>
    </row>
    <row r="743">
      <c r="C743" s="252"/>
      <c r="E743" s="252"/>
    </row>
    <row r="744">
      <c r="C744" s="252"/>
      <c r="E744" s="252"/>
    </row>
    <row r="745">
      <c r="C745" s="252"/>
      <c r="E745" s="252"/>
    </row>
    <row r="746">
      <c r="C746" s="252"/>
      <c r="E746" s="252"/>
    </row>
    <row r="747">
      <c r="C747" s="252"/>
      <c r="E747" s="252"/>
    </row>
    <row r="748">
      <c r="C748" s="252"/>
      <c r="E748" s="252"/>
    </row>
    <row r="749">
      <c r="C749" s="252"/>
      <c r="E749" s="252"/>
    </row>
    <row r="750">
      <c r="C750" s="252"/>
      <c r="E750" s="252"/>
    </row>
    <row r="751">
      <c r="C751" s="252"/>
      <c r="E751" s="252"/>
    </row>
    <row r="752">
      <c r="C752" s="252"/>
      <c r="E752" s="252"/>
    </row>
    <row r="753">
      <c r="C753" s="252"/>
      <c r="E753" s="252"/>
    </row>
    <row r="754">
      <c r="C754" s="252"/>
      <c r="E754" s="252"/>
    </row>
    <row r="755">
      <c r="C755" s="252"/>
      <c r="E755" s="252"/>
    </row>
    <row r="756">
      <c r="C756" s="252"/>
      <c r="E756" s="252"/>
    </row>
    <row r="757">
      <c r="C757" s="252"/>
      <c r="E757" s="252"/>
    </row>
    <row r="758">
      <c r="C758" s="252"/>
      <c r="E758" s="252"/>
    </row>
    <row r="759">
      <c r="C759" s="252"/>
      <c r="E759" s="252"/>
    </row>
    <row r="760">
      <c r="C760" s="252"/>
      <c r="E760" s="252"/>
    </row>
    <row r="761">
      <c r="C761" s="252"/>
      <c r="E761" s="252"/>
    </row>
    <row r="762">
      <c r="C762" s="252"/>
      <c r="E762" s="252"/>
    </row>
    <row r="763">
      <c r="C763" s="252"/>
      <c r="E763" s="252"/>
    </row>
    <row r="764">
      <c r="C764" s="252"/>
      <c r="E764" s="252"/>
    </row>
    <row r="765">
      <c r="C765" s="252"/>
      <c r="E765" s="252"/>
    </row>
    <row r="766">
      <c r="C766" s="252"/>
      <c r="E766" s="252"/>
    </row>
    <row r="767">
      <c r="C767" s="252"/>
      <c r="E767" s="252"/>
    </row>
    <row r="768">
      <c r="C768" s="252"/>
      <c r="E768" s="252"/>
    </row>
    <row r="769">
      <c r="C769" s="252"/>
      <c r="E769" s="252"/>
    </row>
    <row r="770">
      <c r="C770" s="252"/>
      <c r="E770" s="252"/>
    </row>
    <row r="771">
      <c r="C771" s="252"/>
      <c r="E771" s="252"/>
    </row>
    <row r="772">
      <c r="C772" s="252"/>
      <c r="E772" s="252"/>
    </row>
    <row r="773">
      <c r="C773" s="252"/>
      <c r="E773" s="252"/>
    </row>
    <row r="774">
      <c r="C774" s="252"/>
      <c r="E774" s="252"/>
    </row>
    <row r="775">
      <c r="C775" s="252"/>
      <c r="E775" s="252"/>
    </row>
    <row r="776">
      <c r="C776" s="252"/>
      <c r="E776" s="252"/>
    </row>
    <row r="777">
      <c r="C777" s="252"/>
      <c r="E777" s="252"/>
    </row>
    <row r="778">
      <c r="C778" s="252"/>
      <c r="E778" s="252"/>
    </row>
    <row r="779">
      <c r="C779" s="252"/>
      <c r="E779" s="252"/>
    </row>
    <row r="780">
      <c r="C780" s="252"/>
      <c r="E780" s="252"/>
    </row>
    <row r="781">
      <c r="C781" s="252"/>
      <c r="E781" s="252"/>
    </row>
    <row r="782">
      <c r="C782" s="252"/>
      <c r="E782" s="252"/>
    </row>
    <row r="783">
      <c r="C783" s="252"/>
      <c r="E783" s="252"/>
    </row>
    <row r="784">
      <c r="C784" s="252"/>
      <c r="E784" s="252"/>
    </row>
    <row r="785">
      <c r="C785" s="252"/>
      <c r="E785" s="252"/>
    </row>
    <row r="786">
      <c r="C786" s="252"/>
      <c r="E786" s="252"/>
    </row>
    <row r="787">
      <c r="C787" s="252"/>
      <c r="E787" s="252"/>
    </row>
    <row r="788">
      <c r="C788" s="252"/>
      <c r="E788" s="252"/>
    </row>
    <row r="789">
      <c r="C789" s="252"/>
      <c r="E789" s="252"/>
    </row>
    <row r="790">
      <c r="C790" s="252"/>
      <c r="E790" s="252"/>
    </row>
    <row r="791">
      <c r="C791" s="252"/>
      <c r="E791" s="252"/>
    </row>
    <row r="792">
      <c r="C792" s="252"/>
      <c r="E792" s="252"/>
    </row>
    <row r="793">
      <c r="C793" s="252"/>
      <c r="E793" s="252"/>
    </row>
    <row r="794">
      <c r="C794" s="252"/>
      <c r="E794" s="252"/>
    </row>
    <row r="795">
      <c r="C795" s="252"/>
      <c r="E795" s="252"/>
    </row>
    <row r="796">
      <c r="C796" s="252"/>
      <c r="E796" s="252"/>
    </row>
    <row r="797">
      <c r="C797" s="252"/>
      <c r="E797" s="252"/>
    </row>
    <row r="798">
      <c r="C798" s="252"/>
      <c r="E798" s="252"/>
    </row>
    <row r="799">
      <c r="C799" s="252"/>
      <c r="E799" s="252"/>
    </row>
    <row r="800">
      <c r="C800" s="252"/>
      <c r="E800" s="252"/>
    </row>
    <row r="801">
      <c r="C801" s="252"/>
      <c r="E801" s="252"/>
    </row>
    <row r="802">
      <c r="C802" s="252"/>
      <c r="E802" s="252"/>
    </row>
    <row r="803">
      <c r="C803" s="252"/>
      <c r="E803" s="252"/>
    </row>
    <row r="804">
      <c r="C804" s="252"/>
      <c r="E804" s="252"/>
    </row>
    <row r="805">
      <c r="C805" s="252"/>
      <c r="E805" s="252"/>
    </row>
    <row r="806">
      <c r="C806" s="252"/>
      <c r="E806" s="252"/>
    </row>
    <row r="807">
      <c r="C807" s="252"/>
      <c r="E807" s="252"/>
    </row>
    <row r="808">
      <c r="C808" s="252"/>
      <c r="E808" s="252"/>
    </row>
    <row r="809">
      <c r="C809" s="252"/>
      <c r="E809" s="252"/>
    </row>
    <row r="810">
      <c r="C810" s="252"/>
      <c r="E810" s="252"/>
    </row>
    <row r="811">
      <c r="C811" s="252"/>
      <c r="E811" s="252"/>
    </row>
    <row r="812">
      <c r="C812" s="252"/>
      <c r="E812" s="252"/>
    </row>
    <row r="813">
      <c r="C813" s="252"/>
      <c r="E813" s="252"/>
    </row>
    <row r="814">
      <c r="C814" s="252"/>
      <c r="E814" s="252"/>
    </row>
    <row r="815">
      <c r="C815" s="252"/>
      <c r="E815" s="252"/>
    </row>
    <row r="816">
      <c r="C816" s="252"/>
      <c r="E816" s="252"/>
    </row>
    <row r="817">
      <c r="C817" s="252"/>
      <c r="E817" s="252"/>
    </row>
    <row r="818">
      <c r="C818" s="252"/>
      <c r="E818" s="252"/>
    </row>
    <row r="819">
      <c r="C819" s="252"/>
      <c r="E819" s="252"/>
    </row>
    <row r="820">
      <c r="C820" s="252"/>
      <c r="E820" s="252"/>
    </row>
    <row r="821">
      <c r="C821" s="252"/>
      <c r="E821" s="252"/>
    </row>
    <row r="822">
      <c r="C822" s="252"/>
      <c r="E822" s="252"/>
    </row>
    <row r="823">
      <c r="C823" s="252"/>
      <c r="E823" s="252"/>
    </row>
    <row r="824">
      <c r="C824" s="252"/>
      <c r="E824" s="252"/>
    </row>
    <row r="825">
      <c r="C825" s="252"/>
      <c r="E825" s="252"/>
    </row>
    <row r="826">
      <c r="C826" s="252"/>
      <c r="E826" s="252"/>
    </row>
    <row r="827">
      <c r="C827" s="252"/>
      <c r="E827" s="252"/>
    </row>
    <row r="828">
      <c r="C828" s="252"/>
      <c r="E828" s="252"/>
    </row>
    <row r="829">
      <c r="C829" s="252"/>
      <c r="E829" s="252"/>
    </row>
    <row r="830">
      <c r="C830" s="252"/>
      <c r="E830" s="252"/>
    </row>
    <row r="831">
      <c r="C831" s="252"/>
      <c r="E831" s="252"/>
    </row>
    <row r="832">
      <c r="C832" s="252"/>
      <c r="E832" s="252"/>
    </row>
    <row r="833">
      <c r="C833" s="252"/>
      <c r="E833" s="252"/>
    </row>
    <row r="834">
      <c r="C834" s="252"/>
      <c r="E834" s="252"/>
    </row>
    <row r="835">
      <c r="C835" s="252"/>
      <c r="E835" s="252"/>
    </row>
    <row r="836">
      <c r="C836" s="252"/>
      <c r="E836" s="252"/>
    </row>
    <row r="837">
      <c r="C837" s="252"/>
      <c r="E837" s="252"/>
    </row>
    <row r="838">
      <c r="C838" s="252"/>
      <c r="E838" s="252"/>
    </row>
    <row r="839">
      <c r="C839" s="252"/>
      <c r="E839" s="252"/>
    </row>
    <row r="840">
      <c r="C840" s="252"/>
      <c r="E840" s="252"/>
    </row>
    <row r="841">
      <c r="C841" s="252"/>
      <c r="E841" s="252"/>
    </row>
    <row r="842">
      <c r="C842" s="252"/>
      <c r="E842" s="252"/>
    </row>
    <row r="843">
      <c r="C843" s="252"/>
      <c r="E843" s="252"/>
    </row>
    <row r="844">
      <c r="C844" s="252"/>
      <c r="E844" s="252"/>
    </row>
    <row r="845">
      <c r="C845" s="252"/>
      <c r="E845" s="252"/>
    </row>
    <row r="846">
      <c r="C846" s="252"/>
      <c r="E846" s="252"/>
    </row>
    <row r="847">
      <c r="C847" s="252"/>
      <c r="E847" s="252"/>
    </row>
    <row r="848">
      <c r="C848" s="252"/>
      <c r="E848" s="252"/>
    </row>
    <row r="849">
      <c r="C849" s="252"/>
      <c r="E849" s="252"/>
    </row>
    <row r="850">
      <c r="C850" s="252"/>
      <c r="E850" s="252"/>
    </row>
    <row r="851">
      <c r="C851" s="252"/>
      <c r="E851" s="252"/>
    </row>
    <row r="852">
      <c r="C852" s="252"/>
      <c r="E852" s="252"/>
    </row>
    <row r="853">
      <c r="C853" s="252"/>
      <c r="E853" s="252"/>
    </row>
    <row r="854">
      <c r="C854" s="252"/>
      <c r="E854" s="252"/>
    </row>
    <row r="855">
      <c r="C855" s="252"/>
      <c r="E855" s="252"/>
    </row>
    <row r="856">
      <c r="C856" s="252"/>
      <c r="E856" s="252"/>
    </row>
    <row r="857">
      <c r="C857" s="252"/>
      <c r="E857" s="252"/>
    </row>
    <row r="858">
      <c r="C858" s="252"/>
      <c r="E858" s="252"/>
    </row>
    <row r="859">
      <c r="C859" s="252"/>
      <c r="E859" s="252"/>
    </row>
    <row r="860">
      <c r="C860" s="252"/>
      <c r="E860" s="252"/>
    </row>
    <row r="861">
      <c r="C861" s="252"/>
      <c r="E861" s="252"/>
    </row>
    <row r="862">
      <c r="C862" s="252"/>
      <c r="E862" s="252"/>
    </row>
    <row r="863">
      <c r="C863" s="252"/>
      <c r="E863" s="252"/>
    </row>
    <row r="864">
      <c r="C864" s="252"/>
      <c r="E864" s="252"/>
    </row>
    <row r="865">
      <c r="C865" s="252"/>
      <c r="E865" s="252"/>
    </row>
    <row r="866">
      <c r="C866" s="252"/>
      <c r="E866" s="252"/>
    </row>
    <row r="867">
      <c r="C867" s="252"/>
      <c r="E867" s="252"/>
    </row>
    <row r="868">
      <c r="C868" s="252"/>
      <c r="E868" s="252"/>
    </row>
    <row r="869">
      <c r="C869" s="252"/>
      <c r="E869" s="252"/>
    </row>
    <row r="870">
      <c r="C870" s="252"/>
      <c r="E870" s="252"/>
    </row>
    <row r="871">
      <c r="C871" s="252"/>
      <c r="E871" s="252"/>
    </row>
    <row r="872">
      <c r="C872" s="252"/>
      <c r="E872" s="252"/>
    </row>
    <row r="873">
      <c r="C873" s="252"/>
      <c r="E873" s="252"/>
    </row>
    <row r="874">
      <c r="C874" s="252"/>
      <c r="E874" s="252"/>
    </row>
    <row r="875">
      <c r="C875" s="252"/>
      <c r="E875" s="252"/>
    </row>
    <row r="876">
      <c r="C876" s="252"/>
      <c r="E876" s="252"/>
    </row>
    <row r="877">
      <c r="C877" s="252"/>
      <c r="E877" s="252"/>
    </row>
    <row r="878">
      <c r="C878" s="252"/>
      <c r="E878" s="252"/>
    </row>
    <row r="879">
      <c r="C879" s="252"/>
      <c r="E879" s="252"/>
    </row>
    <row r="880">
      <c r="C880" s="252"/>
      <c r="E880" s="252"/>
    </row>
    <row r="881">
      <c r="C881" s="252"/>
      <c r="E881" s="252"/>
    </row>
    <row r="882">
      <c r="C882" s="252"/>
      <c r="E882" s="252"/>
    </row>
    <row r="883">
      <c r="C883" s="252"/>
      <c r="E883" s="252"/>
    </row>
    <row r="884">
      <c r="C884" s="252"/>
      <c r="E884" s="252"/>
    </row>
    <row r="885">
      <c r="C885" s="252"/>
      <c r="E885" s="252"/>
    </row>
    <row r="886">
      <c r="C886" s="252"/>
      <c r="E886" s="252"/>
    </row>
    <row r="887">
      <c r="C887" s="252"/>
      <c r="E887" s="252"/>
    </row>
    <row r="888">
      <c r="C888" s="252"/>
      <c r="E888" s="252"/>
    </row>
    <row r="889">
      <c r="C889" s="252"/>
      <c r="E889" s="252"/>
    </row>
    <row r="890">
      <c r="C890" s="252"/>
      <c r="E890" s="252"/>
    </row>
    <row r="891">
      <c r="C891" s="252"/>
      <c r="E891" s="252"/>
    </row>
    <row r="892">
      <c r="C892" s="252"/>
      <c r="E892" s="252"/>
    </row>
    <row r="893">
      <c r="C893" s="252"/>
      <c r="E893" s="252"/>
    </row>
    <row r="894">
      <c r="C894" s="252"/>
      <c r="E894" s="252"/>
    </row>
    <row r="895">
      <c r="C895" s="252"/>
      <c r="E895" s="252"/>
    </row>
    <row r="896">
      <c r="C896" s="252"/>
      <c r="E896" s="252"/>
    </row>
    <row r="897">
      <c r="C897" s="252"/>
      <c r="E897" s="252"/>
    </row>
    <row r="898">
      <c r="C898" s="252"/>
      <c r="E898" s="252"/>
    </row>
    <row r="899">
      <c r="C899" s="252"/>
      <c r="E899" s="252"/>
    </row>
    <row r="900">
      <c r="C900" s="252"/>
      <c r="E900" s="252"/>
    </row>
    <row r="901">
      <c r="C901" s="252"/>
      <c r="E901" s="252"/>
    </row>
    <row r="902">
      <c r="C902" s="252"/>
      <c r="E902" s="252"/>
    </row>
    <row r="903">
      <c r="C903" s="252"/>
      <c r="E903" s="252"/>
    </row>
    <row r="904">
      <c r="C904" s="252"/>
      <c r="E904" s="252"/>
    </row>
    <row r="905">
      <c r="C905" s="252"/>
      <c r="E905" s="252"/>
    </row>
    <row r="906">
      <c r="C906" s="252"/>
      <c r="E906" s="252"/>
    </row>
    <row r="907">
      <c r="C907" s="252"/>
      <c r="E907" s="252"/>
    </row>
    <row r="908">
      <c r="C908" s="252"/>
      <c r="E908" s="252"/>
    </row>
    <row r="909">
      <c r="C909" s="252"/>
      <c r="E909" s="252"/>
    </row>
    <row r="910">
      <c r="C910" s="252"/>
      <c r="E910" s="252"/>
    </row>
    <row r="911">
      <c r="C911" s="252"/>
      <c r="E911" s="252"/>
    </row>
    <row r="912">
      <c r="C912" s="252"/>
      <c r="E912" s="252"/>
    </row>
    <row r="913">
      <c r="C913" s="252"/>
      <c r="E913" s="252"/>
    </row>
    <row r="914">
      <c r="C914" s="252"/>
      <c r="E914" s="252"/>
    </row>
    <row r="915">
      <c r="C915" s="252"/>
      <c r="E915" s="252"/>
    </row>
    <row r="916">
      <c r="C916" s="252"/>
      <c r="E916" s="252"/>
    </row>
    <row r="917">
      <c r="C917" s="252"/>
      <c r="E917" s="252"/>
    </row>
    <row r="918">
      <c r="C918" s="252"/>
      <c r="E918" s="252"/>
    </row>
    <row r="919">
      <c r="C919" s="252"/>
      <c r="E919" s="252"/>
    </row>
    <row r="920">
      <c r="C920" s="252"/>
      <c r="E920" s="252"/>
    </row>
    <row r="921">
      <c r="C921" s="252"/>
      <c r="E921" s="252"/>
    </row>
    <row r="922">
      <c r="C922" s="252"/>
      <c r="E922" s="252"/>
    </row>
    <row r="923">
      <c r="C923" s="252"/>
      <c r="E923" s="252"/>
    </row>
    <row r="924">
      <c r="C924" s="252"/>
      <c r="E924" s="252"/>
    </row>
    <row r="925">
      <c r="C925" s="252"/>
      <c r="E925" s="252"/>
    </row>
    <row r="926">
      <c r="C926" s="252"/>
      <c r="E926" s="252"/>
    </row>
    <row r="927">
      <c r="C927" s="252"/>
      <c r="E927" s="252"/>
    </row>
    <row r="928">
      <c r="C928" s="252"/>
      <c r="E928" s="252"/>
    </row>
    <row r="929">
      <c r="C929" s="252"/>
      <c r="E929" s="252"/>
    </row>
    <row r="930">
      <c r="C930" s="252"/>
      <c r="E930" s="252"/>
    </row>
    <row r="931">
      <c r="C931" s="252"/>
      <c r="E931" s="252"/>
    </row>
    <row r="932">
      <c r="C932" s="252"/>
      <c r="E932" s="252"/>
    </row>
    <row r="933">
      <c r="C933" s="252"/>
      <c r="E933" s="252"/>
    </row>
    <row r="934">
      <c r="C934" s="252"/>
      <c r="E934" s="252"/>
    </row>
    <row r="935">
      <c r="C935" s="252"/>
      <c r="E935" s="252"/>
    </row>
    <row r="936">
      <c r="C936" s="252"/>
      <c r="E936" s="252"/>
    </row>
    <row r="937">
      <c r="C937" s="252"/>
      <c r="E937" s="252"/>
    </row>
    <row r="938">
      <c r="C938" s="252"/>
      <c r="E938" s="252"/>
    </row>
    <row r="939">
      <c r="C939" s="252"/>
      <c r="E939" s="252"/>
    </row>
    <row r="940">
      <c r="C940" s="252"/>
      <c r="E940" s="252"/>
    </row>
    <row r="941">
      <c r="C941" s="252"/>
      <c r="E941" s="252"/>
    </row>
    <row r="942">
      <c r="C942" s="252"/>
      <c r="E942" s="252"/>
    </row>
    <row r="943">
      <c r="C943" s="252"/>
      <c r="E943" s="252"/>
    </row>
    <row r="944">
      <c r="C944" s="252"/>
      <c r="E944" s="252"/>
    </row>
    <row r="945">
      <c r="C945" s="252"/>
      <c r="E945" s="252"/>
    </row>
    <row r="946">
      <c r="C946" s="252"/>
      <c r="E946" s="252"/>
    </row>
    <row r="947">
      <c r="C947" s="252"/>
      <c r="E947" s="252"/>
    </row>
    <row r="948">
      <c r="C948" s="252"/>
      <c r="E948" s="252"/>
    </row>
    <row r="949">
      <c r="C949" s="252"/>
      <c r="E949" s="252"/>
    </row>
    <row r="950">
      <c r="C950" s="252"/>
      <c r="E950" s="252"/>
    </row>
    <row r="951">
      <c r="C951" s="252"/>
      <c r="E951" s="252"/>
    </row>
    <row r="952">
      <c r="C952" s="252"/>
      <c r="E952" s="252"/>
    </row>
    <row r="953">
      <c r="C953" s="252"/>
      <c r="E953" s="252"/>
    </row>
    <row r="954">
      <c r="C954" s="252"/>
      <c r="E954" s="252"/>
    </row>
    <row r="955">
      <c r="C955" s="252"/>
      <c r="E955" s="252"/>
    </row>
    <row r="956">
      <c r="C956" s="252"/>
      <c r="E956" s="252"/>
    </row>
    <row r="957">
      <c r="C957" s="252"/>
      <c r="E957" s="252"/>
    </row>
    <row r="958">
      <c r="C958" s="252"/>
      <c r="E958" s="252"/>
    </row>
    <row r="959">
      <c r="C959" s="252"/>
      <c r="E959" s="252"/>
    </row>
    <row r="960">
      <c r="C960" s="252"/>
      <c r="E960" s="252"/>
    </row>
    <row r="961">
      <c r="C961" s="252"/>
      <c r="E961" s="252"/>
    </row>
    <row r="962">
      <c r="C962" s="252"/>
      <c r="E962" s="252"/>
    </row>
    <row r="963">
      <c r="C963" s="252"/>
      <c r="E963" s="252"/>
    </row>
    <row r="964">
      <c r="C964" s="252"/>
      <c r="E964" s="252"/>
    </row>
    <row r="965">
      <c r="C965" s="252"/>
      <c r="E965" s="252"/>
    </row>
    <row r="966">
      <c r="C966" s="252"/>
      <c r="E966" s="252"/>
    </row>
    <row r="967">
      <c r="C967" s="252"/>
      <c r="E967" s="252"/>
    </row>
    <row r="968">
      <c r="C968" s="252"/>
      <c r="E968" s="252"/>
    </row>
    <row r="969">
      <c r="C969" s="252"/>
      <c r="E969" s="252"/>
    </row>
    <row r="970">
      <c r="C970" s="252"/>
      <c r="E970" s="252"/>
    </row>
    <row r="971">
      <c r="C971" s="252"/>
      <c r="E971" s="252"/>
    </row>
    <row r="972">
      <c r="C972" s="252"/>
      <c r="E972" s="252"/>
    </row>
    <row r="973">
      <c r="C973" s="252"/>
      <c r="E973" s="252"/>
    </row>
    <row r="974">
      <c r="C974" s="252"/>
      <c r="E974" s="252"/>
    </row>
    <row r="975">
      <c r="C975" s="252"/>
      <c r="E975" s="252"/>
    </row>
    <row r="976">
      <c r="C976" s="252"/>
      <c r="E976" s="252"/>
    </row>
    <row r="977">
      <c r="C977" s="252"/>
      <c r="E977" s="252"/>
    </row>
    <row r="978">
      <c r="C978" s="252"/>
      <c r="E978" s="252"/>
    </row>
    <row r="979">
      <c r="C979" s="252"/>
      <c r="E979" s="252"/>
    </row>
    <row r="980">
      <c r="C980" s="252"/>
      <c r="E980" s="252"/>
    </row>
    <row r="981">
      <c r="C981" s="252"/>
      <c r="E981" s="252"/>
    </row>
    <row r="982">
      <c r="C982" s="252"/>
      <c r="E982" s="252"/>
    </row>
    <row r="983">
      <c r="C983" s="252"/>
      <c r="E983" s="252"/>
    </row>
    <row r="984">
      <c r="C984" s="252"/>
      <c r="E984" s="252"/>
    </row>
    <row r="985">
      <c r="C985" s="252"/>
      <c r="E985" s="252"/>
    </row>
    <row r="986">
      <c r="C986" s="252"/>
      <c r="E986" s="252"/>
    </row>
    <row r="987">
      <c r="C987" s="252"/>
      <c r="E987" s="252"/>
    </row>
    <row r="988">
      <c r="C988" s="252"/>
      <c r="E988" s="252"/>
    </row>
    <row r="989">
      <c r="C989" s="252"/>
      <c r="E989" s="252"/>
    </row>
    <row r="990">
      <c r="C990" s="252"/>
      <c r="E990" s="252"/>
    </row>
    <row r="991">
      <c r="C991" s="252"/>
      <c r="E991" s="252"/>
    </row>
    <row r="992">
      <c r="C992" s="252"/>
      <c r="E992" s="252"/>
    </row>
    <row r="993">
      <c r="C993" s="252"/>
      <c r="E993" s="252"/>
    </row>
    <row r="994">
      <c r="C994" s="252"/>
      <c r="E994" s="252"/>
    </row>
    <row r="995">
      <c r="C995" s="252"/>
      <c r="E995" s="252"/>
    </row>
    <row r="996">
      <c r="C996" s="252"/>
      <c r="E996" s="252"/>
    </row>
    <row r="997">
      <c r="C997" s="252"/>
      <c r="E997" s="252"/>
    </row>
    <row r="998">
      <c r="C998" s="252"/>
      <c r="E998" s="252"/>
    </row>
    <row r="999">
      <c r="C999" s="252"/>
      <c r="E999" s="252"/>
    </row>
    <row r="1000">
      <c r="C1000" s="252"/>
      <c r="E1000" s="252"/>
    </row>
  </sheetData>
  <autoFilter ref="$A$1:$G$26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253"/>
      <c r="D1" s="253"/>
    </row>
    <row r="2">
      <c r="C2" s="254" t="s">
        <v>161</v>
      </c>
      <c r="D2" s="254" t="s">
        <v>159</v>
      </c>
    </row>
    <row r="3">
      <c r="A3" s="255">
        <v>45915.0</v>
      </c>
      <c r="B3" s="256" t="s">
        <v>203</v>
      </c>
      <c r="C3" s="254">
        <v>2124210.0</v>
      </c>
      <c r="D3" s="254">
        <v>2255790.0</v>
      </c>
    </row>
    <row r="4">
      <c r="A4" s="255">
        <v>45916.0</v>
      </c>
      <c r="B4" s="256" t="s">
        <v>204</v>
      </c>
      <c r="C4" s="254">
        <v>2407280.0</v>
      </c>
      <c r="D4" s="254">
        <v>1897760.0</v>
      </c>
      <c r="E4" s="256" t="s">
        <v>205</v>
      </c>
    </row>
    <row r="5">
      <c r="A5" s="255">
        <v>45917.0</v>
      </c>
      <c r="B5" s="256" t="s">
        <v>206</v>
      </c>
      <c r="C5" s="254">
        <v>2193010.0</v>
      </c>
      <c r="D5" s="254">
        <v>0.0</v>
      </c>
      <c r="E5" s="256" t="s">
        <v>207</v>
      </c>
    </row>
    <row r="6">
      <c r="A6" s="255">
        <v>45918.0</v>
      </c>
      <c r="B6" s="256" t="s">
        <v>208</v>
      </c>
      <c r="C6" s="254">
        <v>2917280.0</v>
      </c>
      <c r="D6" s="254">
        <v>2319380.0</v>
      </c>
      <c r="E6" s="256" t="s">
        <v>209</v>
      </c>
    </row>
    <row r="7">
      <c r="C7" s="253"/>
      <c r="D7" s="253"/>
    </row>
    <row r="8">
      <c r="A8" s="255">
        <v>45682.0</v>
      </c>
      <c r="B8" s="256" t="s">
        <v>210</v>
      </c>
      <c r="C8" s="254">
        <v>2528830.0</v>
      </c>
      <c r="D8" s="254">
        <v>3079030.0</v>
      </c>
    </row>
    <row r="9">
      <c r="A9" s="255">
        <v>45683.0</v>
      </c>
      <c r="B9" s="256" t="s">
        <v>203</v>
      </c>
      <c r="C9" s="254">
        <v>1986190.0</v>
      </c>
      <c r="D9" s="254">
        <v>2633860.0</v>
      </c>
    </row>
    <row r="10">
      <c r="A10" s="255">
        <v>45684.0</v>
      </c>
      <c r="B10" s="256" t="s">
        <v>204</v>
      </c>
      <c r="C10" s="254">
        <v>1723840.0</v>
      </c>
      <c r="D10" s="254">
        <v>2427700.0</v>
      </c>
    </row>
    <row r="11">
      <c r="A11" s="255">
        <v>45685.0</v>
      </c>
      <c r="B11" s="256" t="s">
        <v>211</v>
      </c>
      <c r="C11" s="254">
        <v>1670750.0</v>
      </c>
      <c r="D11" s="254">
        <v>2203140.0</v>
      </c>
      <c r="E11" s="256" t="s">
        <v>205</v>
      </c>
    </row>
    <row r="12">
      <c r="A12" s="255">
        <v>45686.0</v>
      </c>
      <c r="B12" s="256" t="s">
        <v>208</v>
      </c>
      <c r="C12" s="254">
        <v>0.0</v>
      </c>
      <c r="D12" s="254">
        <v>0.0</v>
      </c>
      <c r="E12" s="256" t="s">
        <v>212</v>
      </c>
    </row>
    <row r="13">
      <c r="A13" s="255">
        <v>45687.0</v>
      </c>
      <c r="B13" s="256" t="s">
        <v>213</v>
      </c>
      <c r="C13" s="254">
        <v>1220780.0</v>
      </c>
      <c r="D13" s="254">
        <v>1712850.0</v>
      </c>
      <c r="E13" s="256" t="s">
        <v>214</v>
      </c>
    </row>
    <row r="14">
      <c r="A14" s="255"/>
      <c r="C14" s="253"/>
      <c r="D14" s="253"/>
    </row>
    <row r="15">
      <c r="C15" s="253"/>
      <c r="D15" s="253"/>
    </row>
    <row r="16">
      <c r="C16" s="253"/>
      <c r="D16" s="253"/>
    </row>
    <row r="17">
      <c r="C17" s="253"/>
      <c r="D17" s="253"/>
    </row>
    <row r="18">
      <c r="C18" s="253"/>
      <c r="D18" s="253"/>
    </row>
    <row r="19">
      <c r="C19" s="253"/>
      <c r="D19" s="253"/>
    </row>
    <row r="20">
      <c r="C20" s="253"/>
      <c r="D20" s="253"/>
    </row>
    <row r="21">
      <c r="C21" s="253"/>
      <c r="D21" s="253"/>
    </row>
    <row r="22">
      <c r="C22" s="253"/>
      <c r="D22" s="253"/>
    </row>
    <row r="23">
      <c r="C23" s="253"/>
      <c r="D23" s="253"/>
    </row>
    <row r="24">
      <c r="C24" s="253"/>
      <c r="D24" s="253"/>
    </row>
    <row r="25">
      <c r="C25" s="253"/>
      <c r="D25" s="253"/>
    </row>
    <row r="26">
      <c r="C26" s="253"/>
      <c r="D26" s="253"/>
    </row>
    <row r="27">
      <c r="C27" s="253"/>
      <c r="D27" s="253"/>
    </row>
    <row r="28">
      <c r="C28" s="253"/>
      <c r="D28" s="253"/>
    </row>
    <row r="29">
      <c r="C29" s="253"/>
      <c r="D29" s="253"/>
    </row>
    <row r="30">
      <c r="C30" s="253"/>
      <c r="D30" s="253"/>
    </row>
    <row r="31">
      <c r="C31" s="253"/>
      <c r="D31" s="253"/>
    </row>
    <row r="32">
      <c r="C32" s="253"/>
      <c r="D32" s="253"/>
    </row>
    <row r="33">
      <c r="C33" s="253"/>
      <c r="D33" s="253"/>
    </row>
    <row r="34">
      <c r="C34" s="253"/>
      <c r="D34" s="253"/>
    </row>
    <row r="35">
      <c r="C35" s="253"/>
      <c r="D35" s="253"/>
    </row>
    <row r="36">
      <c r="C36" s="253"/>
      <c r="D36" s="253"/>
    </row>
    <row r="37">
      <c r="C37" s="253"/>
      <c r="D37" s="253"/>
    </row>
    <row r="38">
      <c r="C38" s="253"/>
      <c r="D38" s="253"/>
    </row>
    <row r="39">
      <c r="C39" s="253"/>
      <c r="D39" s="253"/>
    </row>
    <row r="40">
      <c r="C40" s="253"/>
      <c r="D40" s="253"/>
    </row>
    <row r="41">
      <c r="C41" s="253"/>
      <c r="D41" s="253"/>
    </row>
    <row r="42">
      <c r="C42" s="253"/>
      <c r="D42" s="253"/>
    </row>
    <row r="43">
      <c r="C43" s="253"/>
      <c r="D43" s="253"/>
    </row>
    <row r="44">
      <c r="C44" s="253"/>
      <c r="D44" s="253"/>
    </row>
    <row r="45">
      <c r="C45" s="253"/>
      <c r="D45" s="253"/>
    </row>
    <row r="46">
      <c r="C46" s="253"/>
      <c r="D46" s="253"/>
    </row>
    <row r="47">
      <c r="C47" s="253"/>
      <c r="D47" s="253"/>
    </row>
    <row r="48">
      <c r="C48" s="253"/>
      <c r="D48" s="253"/>
    </row>
    <row r="49">
      <c r="C49" s="253"/>
      <c r="D49" s="253"/>
    </row>
    <row r="50">
      <c r="C50" s="253"/>
      <c r="D50" s="253"/>
    </row>
    <row r="51">
      <c r="C51" s="253"/>
      <c r="D51" s="253"/>
    </row>
    <row r="52">
      <c r="C52" s="253"/>
      <c r="D52" s="253"/>
    </row>
    <row r="53">
      <c r="C53" s="253"/>
      <c r="D53" s="253"/>
    </row>
    <row r="54">
      <c r="C54" s="253"/>
      <c r="D54" s="253"/>
    </row>
    <row r="55">
      <c r="C55" s="253"/>
      <c r="D55" s="253"/>
    </row>
    <row r="56">
      <c r="C56" s="253"/>
      <c r="D56" s="253"/>
    </row>
    <row r="57">
      <c r="C57" s="253"/>
      <c r="D57" s="253"/>
    </row>
    <row r="58">
      <c r="C58" s="253"/>
      <c r="D58" s="253"/>
    </row>
    <row r="59">
      <c r="C59" s="253"/>
      <c r="D59" s="253"/>
    </row>
    <row r="60">
      <c r="C60" s="253"/>
      <c r="D60" s="253"/>
    </row>
    <row r="61">
      <c r="C61" s="253"/>
      <c r="D61" s="253"/>
    </row>
    <row r="62">
      <c r="C62" s="253"/>
      <c r="D62" s="253"/>
    </row>
    <row r="63">
      <c r="C63" s="253"/>
      <c r="D63" s="253"/>
    </row>
    <row r="64">
      <c r="C64" s="253"/>
      <c r="D64" s="253"/>
    </row>
    <row r="65">
      <c r="C65" s="253"/>
      <c r="D65" s="253"/>
    </row>
    <row r="66">
      <c r="C66" s="253"/>
      <c r="D66" s="253"/>
    </row>
    <row r="67">
      <c r="C67" s="253"/>
      <c r="D67" s="253"/>
    </row>
    <row r="68">
      <c r="C68" s="253"/>
      <c r="D68" s="253"/>
    </row>
    <row r="69">
      <c r="C69" s="253"/>
      <c r="D69" s="253"/>
    </row>
    <row r="70">
      <c r="C70" s="253"/>
      <c r="D70" s="253"/>
    </row>
    <row r="71">
      <c r="C71" s="253"/>
      <c r="D71" s="253"/>
    </row>
    <row r="72">
      <c r="C72" s="253"/>
      <c r="D72" s="253"/>
    </row>
    <row r="73">
      <c r="C73" s="253"/>
      <c r="D73" s="253"/>
    </row>
    <row r="74">
      <c r="C74" s="253"/>
      <c r="D74" s="253"/>
    </row>
    <row r="75">
      <c r="C75" s="253"/>
      <c r="D75" s="253"/>
    </row>
    <row r="76">
      <c r="C76" s="253"/>
      <c r="D76" s="253"/>
    </row>
    <row r="77">
      <c r="C77" s="253"/>
      <c r="D77" s="253"/>
    </row>
    <row r="78">
      <c r="C78" s="253"/>
      <c r="D78" s="253"/>
    </row>
    <row r="79">
      <c r="C79" s="253"/>
      <c r="D79" s="253"/>
    </row>
    <row r="80">
      <c r="C80" s="253"/>
      <c r="D80" s="253"/>
    </row>
    <row r="81">
      <c r="C81" s="253"/>
      <c r="D81" s="253"/>
    </row>
    <row r="82">
      <c r="C82" s="253"/>
      <c r="D82" s="253"/>
    </row>
    <row r="83">
      <c r="C83" s="253"/>
      <c r="D83" s="253"/>
    </row>
    <row r="84">
      <c r="C84" s="253"/>
      <c r="D84" s="253"/>
    </row>
    <row r="85">
      <c r="C85" s="253"/>
      <c r="D85" s="253"/>
    </row>
    <row r="86">
      <c r="C86" s="253"/>
      <c r="D86" s="253"/>
    </row>
    <row r="87">
      <c r="C87" s="253"/>
      <c r="D87" s="253"/>
    </row>
    <row r="88">
      <c r="C88" s="253"/>
      <c r="D88" s="253"/>
    </row>
    <row r="89">
      <c r="C89" s="253"/>
      <c r="D89" s="253"/>
    </row>
    <row r="90">
      <c r="C90" s="253"/>
      <c r="D90" s="253"/>
    </row>
    <row r="91">
      <c r="C91" s="253"/>
      <c r="D91" s="253"/>
    </row>
    <row r="92">
      <c r="C92" s="253"/>
      <c r="D92" s="253"/>
    </row>
    <row r="93">
      <c r="C93" s="253"/>
      <c r="D93" s="253"/>
    </row>
    <row r="94">
      <c r="C94" s="253"/>
      <c r="D94" s="253"/>
    </row>
    <row r="95">
      <c r="C95" s="253"/>
      <c r="D95" s="253"/>
    </row>
    <row r="96">
      <c r="C96" s="253"/>
      <c r="D96" s="253"/>
    </row>
    <row r="97">
      <c r="C97" s="253"/>
      <c r="D97" s="253"/>
    </row>
    <row r="98">
      <c r="C98" s="253"/>
      <c r="D98" s="253"/>
    </row>
    <row r="99">
      <c r="C99" s="253"/>
      <c r="D99" s="253"/>
    </row>
    <row r="100">
      <c r="C100" s="253"/>
      <c r="D100" s="253"/>
    </row>
    <row r="101">
      <c r="C101" s="253"/>
      <c r="D101" s="253"/>
    </row>
    <row r="102">
      <c r="C102" s="253"/>
      <c r="D102" s="253"/>
    </row>
    <row r="103">
      <c r="C103" s="253"/>
      <c r="D103" s="253"/>
    </row>
    <row r="104">
      <c r="C104" s="253"/>
      <c r="D104" s="253"/>
    </row>
    <row r="105">
      <c r="C105" s="253"/>
      <c r="D105" s="253"/>
    </row>
    <row r="106">
      <c r="C106" s="253"/>
      <c r="D106" s="253"/>
    </row>
    <row r="107">
      <c r="C107" s="253"/>
      <c r="D107" s="253"/>
    </row>
    <row r="108">
      <c r="C108" s="253"/>
      <c r="D108" s="253"/>
    </row>
    <row r="109">
      <c r="C109" s="253"/>
      <c r="D109" s="253"/>
    </row>
    <row r="110">
      <c r="C110" s="253"/>
      <c r="D110" s="253"/>
    </row>
    <row r="111">
      <c r="C111" s="253"/>
      <c r="D111" s="253"/>
    </row>
    <row r="112">
      <c r="C112" s="253"/>
      <c r="D112" s="253"/>
    </row>
    <row r="113">
      <c r="C113" s="253"/>
      <c r="D113" s="253"/>
    </row>
    <row r="114">
      <c r="C114" s="253"/>
      <c r="D114" s="253"/>
    </row>
    <row r="115">
      <c r="C115" s="253"/>
      <c r="D115" s="253"/>
    </row>
    <row r="116">
      <c r="C116" s="253"/>
      <c r="D116" s="253"/>
    </row>
    <row r="117">
      <c r="C117" s="253"/>
      <c r="D117" s="253"/>
    </row>
    <row r="118">
      <c r="C118" s="253"/>
      <c r="D118" s="253"/>
    </row>
    <row r="119">
      <c r="C119" s="253"/>
      <c r="D119" s="253"/>
    </row>
    <row r="120">
      <c r="C120" s="253"/>
      <c r="D120" s="253"/>
    </row>
    <row r="121">
      <c r="C121" s="253"/>
      <c r="D121" s="253"/>
    </row>
    <row r="122">
      <c r="C122" s="253"/>
      <c r="D122" s="253"/>
    </row>
    <row r="123">
      <c r="C123" s="253"/>
      <c r="D123" s="253"/>
    </row>
    <row r="124">
      <c r="C124" s="253"/>
      <c r="D124" s="253"/>
    </row>
    <row r="125">
      <c r="C125" s="253"/>
      <c r="D125" s="253"/>
    </row>
    <row r="126">
      <c r="C126" s="253"/>
      <c r="D126" s="253"/>
    </row>
    <row r="127">
      <c r="C127" s="253"/>
      <c r="D127" s="253"/>
    </row>
    <row r="128">
      <c r="C128" s="253"/>
      <c r="D128" s="253"/>
    </row>
    <row r="129">
      <c r="C129" s="253"/>
      <c r="D129" s="253"/>
    </row>
    <row r="130">
      <c r="C130" s="253"/>
      <c r="D130" s="253"/>
    </row>
    <row r="131">
      <c r="C131" s="253"/>
      <c r="D131" s="253"/>
    </row>
    <row r="132">
      <c r="C132" s="253"/>
      <c r="D132" s="253"/>
    </row>
    <row r="133">
      <c r="C133" s="253"/>
      <c r="D133" s="253"/>
    </row>
    <row r="134">
      <c r="C134" s="253"/>
      <c r="D134" s="253"/>
    </row>
    <row r="135">
      <c r="C135" s="253"/>
      <c r="D135" s="253"/>
    </row>
    <row r="136">
      <c r="C136" s="253"/>
      <c r="D136" s="253"/>
    </row>
    <row r="137">
      <c r="C137" s="253"/>
      <c r="D137" s="253"/>
    </row>
    <row r="138">
      <c r="C138" s="253"/>
      <c r="D138" s="253"/>
    </row>
    <row r="139">
      <c r="C139" s="253"/>
      <c r="D139" s="253"/>
    </row>
    <row r="140">
      <c r="C140" s="253"/>
      <c r="D140" s="253"/>
    </row>
    <row r="141">
      <c r="C141" s="253"/>
      <c r="D141" s="253"/>
    </row>
    <row r="142">
      <c r="C142" s="253"/>
      <c r="D142" s="253"/>
    </row>
    <row r="143">
      <c r="C143" s="253"/>
      <c r="D143" s="253"/>
    </row>
    <row r="144">
      <c r="C144" s="253"/>
      <c r="D144" s="253"/>
    </row>
    <row r="145">
      <c r="C145" s="253"/>
      <c r="D145" s="253"/>
    </row>
    <row r="146">
      <c r="C146" s="253"/>
      <c r="D146" s="253"/>
    </row>
    <row r="147">
      <c r="C147" s="253"/>
      <c r="D147" s="253"/>
    </row>
    <row r="148">
      <c r="C148" s="253"/>
      <c r="D148" s="253"/>
    </row>
    <row r="149">
      <c r="C149" s="253"/>
      <c r="D149" s="253"/>
    </row>
    <row r="150">
      <c r="C150" s="253"/>
      <c r="D150" s="253"/>
    </row>
    <row r="151">
      <c r="C151" s="253"/>
      <c r="D151" s="253"/>
    </row>
    <row r="152">
      <c r="C152" s="253"/>
      <c r="D152" s="253"/>
    </row>
    <row r="153">
      <c r="C153" s="253"/>
      <c r="D153" s="253"/>
    </row>
    <row r="154">
      <c r="C154" s="253"/>
      <c r="D154" s="253"/>
    </row>
    <row r="155">
      <c r="C155" s="253"/>
      <c r="D155" s="253"/>
    </row>
    <row r="156">
      <c r="C156" s="253"/>
      <c r="D156" s="253"/>
    </row>
    <row r="157">
      <c r="C157" s="253"/>
      <c r="D157" s="253"/>
    </row>
    <row r="158">
      <c r="C158" s="253"/>
      <c r="D158" s="253"/>
    </row>
    <row r="159">
      <c r="C159" s="253"/>
      <c r="D159" s="253"/>
    </row>
    <row r="160">
      <c r="C160" s="253"/>
      <c r="D160" s="253"/>
    </row>
    <row r="161">
      <c r="C161" s="253"/>
      <c r="D161" s="253"/>
    </row>
    <row r="162">
      <c r="C162" s="253"/>
      <c r="D162" s="253"/>
    </row>
    <row r="163">
      <c r="C163" s="253"/>
      <c r="D163" s="253"/>
    </row>
    <row r="164">
      <c r="C164" s="253"/>
      <c r="D164" s="253"/>
    </row>
    <row r="165">
      <c r="C165" s="253"/>
      <c r="D165" s="253"/>
    </row>
    <row r="166">
      <c r="C166" s="253"/>
      <c r="D166" s="253"/>
    </row>
    <row r="167">
      <c r="C167" s="253"/>
      <c r="D167" s="253"/>
    </row>
    <row r="168">
      <c r="C168" s="253"/>
      <c r="D168" s="253"/>
    </row>
    <row r="169">
      <c r="C169" s="253"/>
      <c r="D169" s="253"/>
    </row>
    <row r="170">
      <c r="C170" s="253"/>
      <c r="D170" s="253"/>
    </row>
    <row r="171">
      <c r="C171" s="253"/>
      <c r="D171" s="253"/>
    </row>
    <row r="172">
      <c r="C172" s="253"/>
      <c r="D172" s="253"/>
    </row>
    <row r="173">
      <c r="C173" s="253"/>
      <c r="D173" s="253"/>
    </row>
    <row r="174">
      <c r="C174" s="253"/>
      <c r="D174" s="253"/>
    </row>
    <row r="175">
      <c r="C175" s="253"/>
      <c r="D175" s="253"/>
    </row>
    <row r="176">
      <c r="C176" s="253"/>
      <c r="D176" s="253"/>
    </row>
    <row r="177">
      <c r="C177" s="253"/>
      <c r="D177" s="253"/>
    </row>
    <row r="178">
      <c r="C178" s="253"/>
      <c r="D178" s="253"/>
    </row>
    <row r="179">
      <c r="C179" s="253"/>
      <c r="D179" s="253"/>
    </row>
    <row r="180">
      <c r="C180" s="253"/>
      <c r="D180" s="253"/>
    </row>
    <row r="181">
      <c r="C181" s="253"/>
      <c r="D181" s="253"/>
    </row>
    <row r="182">
      <c r="C182" s="253"/>
      <c r="D182" s="253"/>
    </row>
    <row r="183">
      <c r="C183" s="253"/>
      <c r="D183" s="253"/>
    </row>
    <row r="184">
      <c r="C184" s="253"/>
      <c r="D184" s="253"/>
    </row>
    <row r="185">
      <c r="C185" s="253"/>
      <c r="D185" s="253"/>
    </row>
    <row r="186">
      <c r="C186" s="253"/>
      <c r="D186" s="253"/>
    </row>
    <row r="187">
      <c r="C187" s="253"/>
      <c r="D187" s="253"/>
    </row>
    <row r="188">
      <c r="C188" s="253"/>
      <c r="D188" s="253"/>
    </row>
    <row r="189">
      <c r="C189" s="253"/>
      <c r="D189" s="253"/>
    </row>
    <row r="190">
      <c r="C190" s="253"/>
      <c r="D190" s="253"/>
    </row>
    <row r="191">
      <c r="C191" s="253"/>
      <c r="D191" s="253"/>
    </row>
    <row r="192">
      <c r="C192" s="253"/>
      <c r="D192" s="253"/>
    </row>
    <row r="193">
      <c r="C193" s="253"/>
      <c r="D193" s="253"/>
    </row>
    <row r="194">
      <c r="C194" s="253"/>
      <c r="D194" s="253"/>
    </row>
    <row r="195">
      <c r="C195" s="253"/>
      <c r="D195" s="253"/>
    </row>
    <row r="196">
      <c r="C196" s="253"/>
      <c r="D196" s="253"/>
    </row>
    <row r="197">
      <c r="C197" s="253"/>
      <c r="D197" s="253"/>
    </row>
    <row r="198">
      <c r="C198" s="253"/>
      <c r="D198" s="253"/>
    </row>
    <row r="199">
      <c r="C199" s="253"/>
      <c r="D199" s="253"/>
    </row>
    <row r="200">
      <c r="C200" s="253"/>
      <c r="D200" s="253"/>
    </row>
    <row r="201">
      <c r="C201" s="253"/>
      <c r="D201" s="253"/>
    </row>
    <row r="202">
      <c r="C202" s="253"/>
      <c r="D202" s="253"/>
    </row>
    <row r="203">
      <c r="C203" s="253"/>
      <c r="D203" s="253"/>
    </row>
    <row r="204">
      <c r="C204" s="253"/>
      <c r="D204" s="253"/>
    </row>
    <row r="205">
      <c r="C205" s="253"/>
      <c r="D205" s="253"/>
    </row>
    <row r="206">
      <c r="C206" s="253"/>
      <c r="D206" s="253"/>
    </row>
    <row r="207">
      <c r="C207" s="253"/>
      <c r="D207" s="253"/>
    </row>
    <row r="208">
      <c r="C208" s="253"/>
      <c r="D208" s="253"/>
    </row>
    <row r="209">
      <c r="C209" s="253"/>
      <c r="D209" s="253"/>
    </row>
    <row r="210">
      <c r="C210" s="253"/>
      <c r="D210" s="253"/>
    </row>
    <row r="211">
      <c r="C211" s="253"/>
      <c r="D211" s="253"/>
    </row>
    <row r="212">
      <c r="C212" s="253"/>
      <c r="D212" s="253"/>
    </row>
    <row r="213">
      <c r="C213" s="253"/>
      <c r="D213" s="253"/>
    </row>
    <row r="214">
      <c r="C214" s="253"/>
      <c r="D214" s="253"/>
    </row>
    <row r="215">
      <c r="C215" s="253"/>
      <c r="D215" s="253"/>
    </row>
    <row r="216">
      <c r="C216" s="253"/>
      <c r="D216" s="253"/>
    </row>
    <row r="217">
      <c r="C217" s="253"/>
      <c r="D217" s="253"/>
    </row>
    <row r="218">
      <c r="C218" s="253"/>
      <c r="D218" s="253"/>
    </row>
    <row r="219">
      <c r="C219" s="253"/>
      <c r="D219" s="253"/>
    </row>
    <row r="220">
      <c r="C220" s="253"/>
      <c r="D220" s="253"/>
    </row>
    <row r="221">
      <c r="C221" s="253"/>
      <c r="D221" s="253"/>
    </row>
    <row r="222">
      <c r="C222" s="253"/>
      <c r="D222" s="253"/>
    </row>
    <row r="223">
      <c r="C223" s="253"/>
      <c r="D223" s="253"/>
    </row>
    <row r="224">
      <c r="C224" s="253"/>
      <c r="D224" s="253"/>
    </row>
    <row r="225">
      <c r="C225" s="253"/>
      <c r="D225" s="253"/>
    </row>
    <row r="226">
      <c r="C226" s="253"/>
      <c r="D226" s="253"/>
    </row>
    <row r="227">
      <c r="C227" s="253"/>
      <c r="D227" s="253"/>
    </row>
    <row r="228">
      <c r="C228" s="253"/>
      <c r="D228" s="253"/>
    </row>
    <row r="229">
      <c r="C229" s="253"/>
      <c r="D229" s="253"/>
    </row>
    <row r="230">
      <c r="C230" s="253"/>
      <c r="D230" s="253"/>
    </row>
    <row r="231">
      <c r="C231" s="253"/>
      <c r="D231" s="253"/>
    </row>
    <row r="232">
      <c r="C232" s="253"/>
      <c r="D232" s="253"/>
    </row>
    <row r="233">
      <c r="C233" s="253"/>
      <c r="D233" s="253"/>
    </row>
    <row r="234">
      <c r="C234" s="253"/>
      <c r="D234" s="253"/>
    </row>
    <row r="235">
      <c r="C235" s="253"/>
      <c r="D235" s="253"/>
    </row>
    <row r="236">
      <c r="C236" s="253"/>
      <c r="D236" s="253"/>
    </row>
    <row r="237">
      <c r="C237" s="253"/>
      <c r="D237" s="253"/>
    </row>
    <row r="238">
      <c r="C238" s="253"/>
      <c r="D238" s="253"/>
    </row>
    <row r="239">
      <c r="C239" s="253"/>
      <c r="D239" s="253"/>
    </row>
    <row r="240">
      <c r="C240" s="253"/>
      <c r="D240" s="253"/>
    </row>
    <row r="241">
      <c r="C241" s="253"/>
      <c r="D241" s="253"/>
    </row>
    <row r="242">
      <c r="C242" s="253"/>
      <c r="D242" s="253"/>
    </row>
    <row r="243">
      <c r="C243" s="253"/>
      <c r="D243" s="253"/>
    </row>
    <row r="244">
      <c r="C244" s="253"/>
      <c r="D244" s="253"/>
    </row>
    <row r="245">
      <c r="C245" s="253"/>
      <c r="D245" s="253"/>
    </row>
    <row r="246">
      <c r="C246" s="253"/>
      <c r="D246" s="253"/>
    </row>
    <row r="247">
      <c r="C247" s="253"/>
      <c r="D247" s="253"/>
    </row>
    <row r="248">
      <c r="C248" s="253"/>
      <c r="D248" s="253"/>
    </row>
    <row r="249">
      <c r="C249" s="253"/>
      <c r="D249" s="253"/>
    </row>
    <row r="250">
      <c r="C250" s="253"/>
      <c r="D250" s="253"/>
    </row>
    <row r="251">
      <c r="C251" s="253"/>
      <c r="D251" s="253"/>
    </row>
    <row r="252">
      <c r="C252" s="253"/>
      <c r="D252" s="253"/>
    </row>
    <row r="253">
      <c r="C253" s="253"/>
      <c r="D253" s="253"/>
    </row>
    <row r="254">
      <c r="C254" s="253"/>
      <c r="D254" s="253"/>
    </row>
    <row r="255">
      <c r="C255" s="253"/>
      <c r="D255" s="253"/>
    </row>
    <row r="256">
      <c r="C256" s="253"/>
      <c r="D256" s="253"/>
    </row>
    <row r="257">
      <c r="C257" s="253"/>
      <c r="D257" s="253"/>
    </row>
    <row r="258">
      <c r="C258" s="253"/>
      <c r="D258" s="253"/>
    </row>
    <row r="259">
      <c r="C259" s="253"/>
      <c r="D259" s="253"/>
    </row>
    <row r="260">
      <c r="C260" s="253"/>
      <c r="D260" s="253"/>
    </row>
    <row r="261">
      <c r="C261" s="253"/>
      <c r="D261" s="253"/>
    </row>
    <row r="262">
      <c r="C262" s="253"/>
      <c r="D262" s="253"/>
    </row>
    <row r="263">
      <c r="C263" s="253"/>
      <c r="D263" s="253"/>
    </row>
    <row r="264">
      <c r="C264" s="253"/>
      <c r="D264" s="253"/>
    </row>
    <row r="265">
      <c r="C265" s="253"/>
      <c r="D265" s="253"/>
    </row>
    <row r="266">
      <c r="C266" s="253"/>
      <c r="D266" s="253"/>
    </row>
    <row r="267">
      <c r="C267" s="253"/>
      <c r="D267" s="253"/>
    </row>
    <row r="268">
      <c r="C268" s="253"/>
      <c r="D268" s="253"/>
    </row>
    <row r="269">
      <c r="C269" s="253"/>
      <c r="D269" s="253"/>
    </row>
    <row r="270">
      <c r="C270" s="253"/>
      <c r="D270" s="253"/>
    </row>
    <row r="271">
      <c r="C271" s="253"/>
      <c r="D271" s="253"/>
    </row>
    <row r="272">
      <c r="C272" s="253"/>
      <c r="D272" s="253"/>
    </row>
    <row r="273">
      <c r="C273" s="253"/>
      <c r="D273" s="253"/>
    </row>
    <row r="274">
      <c r="C274" s="253"/>
      <c r="D274" s="253"/>
    </row>
    <row r="275">
      <c r="C275" s="253"/>
      <c r="D275" s="253"/>
    </row>
    <row r="276">
      <c r="C276" s="253"/>
      <c r="D276" s="253"/>
    </row>
    <row r="277">
      <c r="C277" s="253"/>
      <c r="D277" s="253"/>
    </row>
    <row r="278">
      <c r="C278" s="253"/>
      <c r="D278" s="253"/>
    </row>
    <row r="279">
      <c r="C279" s="253"/>
      <c r="D279" s="253"/>
    </row>
    <row r="280">
      <c r="C280" s="253"/>
      <c r="D280" s="253"/>
    </row>
    <row r="281">
      <c r="C281" s="253"/>
      <c r="D281" s="253"/>
    </row>
    <row r="282">
      <c r="C282" s="253"/>
      <c r="D282" s="253"/>
    </row>
    <row r="283">
      <c r="C283" s="253"/>
      <c r="D283" s="253"/>
    </row>
    <row r="284">
      <c r="C284" s="253"/>
      <c r="D284" s="253"/>
    </row>
    <row r="285">
      <c r="C285" s="253"/>
      <c r="D285" s="253"/>
    </row>
    <row r="286">
      <c r="C286" s="253"/>
      <c r="D286" s="253"/>
    </row>
    <row r="287">
      <c r="C287" s="253"/>
      <c r="D287" s="253"/>
    </row>
    <row r="288">
      <c r="C288" s="253"/>
      <c r="D288" s="253"/>
    </row>
    <row r="289">
      <c r="C289" s="253"/>
      <c r="D289" s="253"/>
    </row>
    <row r="290">
      <c r="C290" s="253"/>
      <c r="D290" s="253"/>
    </row>
    <row r="291">
      <c r="C291" s="253"/>
      <c r="D291" s="253"/>
    </row>
    <row r="292">
      <c r="C292" s="253"/>
      <c r="D292" s="253"/>
    </row>
    <row r="293">
      <c r="C293" s="253"/>
      <c r="D293" s="253"/>
    </row>
    <row r="294">
      <c r="C294" s="253"/>
      <c r="D294" s="253"/>
    </row>
    <row r="295">
      <c r="C295" s="253"/>
      <c r="D295" s="253"/>
    </row>
    <row r="296">
      <c r="C296" s="253"/>
      <c r="D296" s="253"/>
    </row>
    <row r="297">
      <c r="C297" s="253"/>
      <c r="D297" s="253"/>
    </row>
    <row r="298">
      <c r="C298" s="253"/>
      <c r="D298" s="253"/>
    </row>
    <row r="299">
      <c r="C299" s="253"/>
      <c r="D299" s="253"/>
    </row>
    <row r="300">
      <c r="C300" s="253"/>
      <c r="D300" s="253"/>
    </row>
    <row r="301">
      <c r="C301" s="253"/>
      <c r="D301" s="253"/>
    </row>
    <row r="302">
      <c r="C302" s="253"/>
      <c r="D302" s="253"/>
    </row>
    <row r="303">
      <c r="C303" s="253"/>
      <c r="D303" s="253"/>
    </row>
    <row r="304">
      <c r="C304" s="253"/>
      <c r="D304" s="253"/>
    </row>
    <row r="305">
      <c r="C305" s="253"/>
      <c r="D305" s="253"/>
    </row>
    <row r="306">
      <c r="C306" s="253"/>
      <c r="D306" s="253"/>
    </row>
    <row r="307">
      <c r="C307" s="253"/>
      <c r="D307" s="253"/>
    </row>
    <row r="308">
      <c r="C308" s="253"/>
      <c r="D308" s="253"/>
    </row>
    <row r="309">
      <c r="C309" s="253"/>
      <c r="D309" s="253"/>
    </row>
    <row r="310">
      <c r="C310" s="253"/>
      <c r="D310" s="253"/>
    </row>
    <row r="311">
      <c r="C311" s="253"/>
      <c r="D311" s="253"/>
    </row>
    <row r="312">
      <c r="C312" s="253"/>
      <c r="D312" s="253"/>
    </row>
    <row r="313">
      <c r="C313" s="253"/>
      <c r="D313" s="253"/>
    </row>
    <row r="314">
      <c r="C314" s="253"/>
      <c r="D314" s="253"/>
    </row>
    <row r="315">
      <c r="C315" s="253"/>
      <c r="D315" s="253"/>
    </row>
    <row r="316">
      <c r="C316" s="253"/>
      <c r="D316" s="253"/>
    </row>
    <row r="317">
      <c r="C317" s="253"/>
      <c r="D317" s="253"/>
    </row>
    <row r="318">
      <c r="C318" s="253"/>
      <c r="D318" s="253"/>
    </row>
    <row r="319">
      <c r="C319" s="253"/>
      <c r="D319" s="253"/>
    </row>
    <row r="320">
      <c r="C320" s="253"/>
      <c r="D320" s="253"/>
    </row>
    <row r="321">
      <c r="C321" s="253"/>
      <c r="D321" s="253"/>
    </row>
    <row r="322">
      <c r="C322" s="253"/>
      <c r="D322" s="253"/>
    </row>
    <row r="323">
      <c r="C323" s="253"/>
      <c r="D323" s="253"/>
    </row>
    <row r="324">
      <c r="C324" s="253"/>
      <c r="D324" s="253"/>
    </row>
    <row r="325">
      <c r="C325" s="253"/>
      <c r="D325" s="253"/>
    </row>
    <row r="326">
      <c r="C326" s="253"/>
      <c r="D326" s="253"/>
    </row>
    <row r="327">
      <c r="C327" s="253"/>
      <c r="D327" s="253"/>
    </row>
    <row r="328">
      <c r="C328" s="253"/>
      <c r="D328" s="253"/>
    </row>
    <row r="329">
      <c r="C329" s="253"/>
      <c r="D329" s="253"/>
    </row>
    <row r="330">
      <c r="C330" s="253"/>
      <c r="D330" s="253"/>
    </row>
    <row r="331">
      <c r="C331" s="253"/>
      <c r="D331" s="253"/>
    </row>
    <row r="332">
      <c r="C332" s="253"/>
      <c r="D332" s="253"/>
    </row>
    <row r="333">
      <c r="C333" s="253"/>
      <c r="D333" s="253"/>
    </row>
    <row r="334">
      <c r="C334" s="253"/>
      <c r="D334" s="253"/>
    </row>
    <row r="335">
      <c r="C335" s="253"/>
      <c r="D335" s="253"/>
    </row>
    <row r="336">
      <c r="C336" s="253"/>
      <c r="D336" s="253"/>
    </row>
    <row r="337">
      <c r="C337" s="253"/>
      <c r="D337" s="253"/>
    </row>
    <row r="338">
      <c r="C338" s="253"/>
      <c r="D338" s="253"/>
    </row>
    <row r="339">
      <c r="C339" s="253"/>
      <c r="D339" s="253"/>
    </row>
    <row r="340">
      <c r="C340" s="253"/>
      <c r="D340" s="253"/>
    </row>
    <row r="341">
      <c r="C341" s="253"/>
      <c r="D341" s="253"/>
    </row>
    <row r="342">
      <c r="C342" s="253"/>
      <c r="D342" s="253"/>
    </row>
    <row r="343">
      <c r="C343" s="253"/>
      <c r="D343" s="253"/>
    </row>
    <row r="344">
      <c r="C344" s="253"/>
      <c r="D344" s="253"/>
    </row>
    <row r="345">
      <c r="C345" s="253"/>
      <c r="D345" s="253"/>
    </row>
    <row r="346">
      <c r="C346" s="253"/>
      <c r="D346" s="253"/>
    </row>
    <row r="347">
      <c r="C347" s="253"/>
      <c r="D347" s="253"/>
    </row>
    <row r="348">
      <c r="C348" s="253"/>
      <c r="D348" s="253"/>
    </row>
    <row r="349">
      <c r="C349" s="253"/>
      <c r="D349" s="253"/>
    </row>
    <row r="350">
      <c r="C350" s="253"/>
      <c r="D350" s="253"/>
    </row>
    <row r="351">
      <c r="C351" s="253"/>
      <c r="D351" s="253"/>
    </row>
    <row r="352">
      <c r="C352" s="253"/>
      <c r="D352" s="253"/>
    </row>
    <row r="353">
      <c r="C353" s="253"/>
      <c r="D353" s="253"/>
    </row>
    <row r="354">
      <c r="C354" s="253"/>
      <c r="D354" s="253"/>
    </row>
    <row r="355">
      <c r="C355" s="253"/>
      <c r="D355" s="253"/>
    </row>
    <row r="356">
      <c r="C356" s="253"/>
      <c r="D356" s="253"/>
    </row>
    <row r="357">
      <c r="C357" s="253"/>
      <c r="D357" s="253"/>
    </row>
    <row r="358">
      <c r="C358" s="253"/>
      <c r="D358" s="253"/>
    </row>
    <row r="359">
      <c r="C359" s="253"/>
      <c r="D359" s="253"/>
    </row>
    <row r="360">
      <c r="C360" s="253"/>
      <c r="D360" s="253"/>
    </row>
    <row r="361">
      <c r="C361" s="253"/>
      <c r="D361" s="253"/>
    </row>
    <row r="362">
      <c r="C362" s="253"/>
      <c r="D362" s="253"/>
    </row>
    <row r="363">
      <c r="C363" s="253"/>
      <c r="D363" s="253"/>
    </row>
    <row r="364">
      <c r="C364" s="253"/>
      <c r="D364" s="253"/>
    </row>
    <row r="365">
      <c r="C365" s="253"/>
      <c r="D365" s="253"/>
    </row>
    <row r="366">
      <c r="C366" s="253"/>
      <c r="D366" s="253"/>
    </row>
    <row r="367">
      <c r="C367" s="253"/>
      <c r="D367" s="253"/>
    </row>
    <row r="368">
      <c r="C368" s="253"/>
      <c r="D368" s="253"/>
    </row>
    <row r="369">
      <c r="C369" s="253"/>
      <c r="D369" s="253"/>
    </row>
    <row r="370">
      <c r="C370" s="253"/>
      <c r="D370" s="253"/>
    </row>
    <row r="371">
      <c r="C371" s="253"/>
      <c r="D371" s="253"/>
    </row>
    <row r="372">
      <c r="C372" s="253"/>
      <c r="D372" s="253"/>
    </row>
    <row r="373">
      <c r="C373" s="253"/>
      <c r="D373" s="253"/>
    </row>
    <row r="374">
      <c r="C374" s="253"/>
      <c r="D374" s="253"/>
    </row>
    <row r="375">
      <c r="C375" s="253"/>
      <c r="D375" s="253"/>
    </row>
    <row r="376">
      <c r="C376" s="253"/>
      <c r="D376" s="253"/>
    </row>
    <row r="377">
      <c r="C377" s="253"/>
      <c r="D377" s="253"/>
    </row>
    <row r="378">
      <c r="C378" s="253"/>
      <c r="D378" s="253"/>
    </row>
    <row r="379">
      <c r="C379" s="253"/>
      <c r="D379" s="253"/>
    </row>
    <row r="380">
      <c r="C380" s="253"/>
      <c r="D380" s="253"/>
    </row>
    <row r="381">
      <c r="C381" s="253"/>
      <c r="D381" s="253"/>
    </row>
    <row r="382">
      <c r="C382" s="253"/>
      <c r="D382" s="253"/>
    </row>
    <row r="383">
      <c r="C383" s="253"/>
      <c r="D383" s="253"/>
    </row>
    <row r="384">
      <c r="C384" s="253"/>
      <c r="D384" s="253"/>
    </row>
    <row r="385">
      <c r="C385" s="253"/>
      <c r="D385" s="253"/>
    </row>
    <row r="386">
      <c r="C386" s="253"/>
      <c r="D386" s="253"/>
    </row>
    <row r="387">
      <c r="C387" s="253"/>
      <c r="D387" s="253"/>
    </row>
    <row r="388">
      <c r="C388" s="253"/>
      <c r="D388" s="253"/>
    </row>
    <row r="389">
      <c r="C389" s="253"/>
      <c r="D389" s="253"/>
    </row>
    <row r="390">
      <c r="C390" s="253"/>
      <c r="D390" s="253"/>
    </row>
    <row r="391">
      <c r="C391" s="253"/>
      <c r="D391" s="253"/>
    </row>
    <row r="392">
      <c r="C392" s="253"/>
      <c r="D392" s="253"/>
    </row>
    <row r="393">
      <c r="C393" s="253"/>
      <c r="D393" s="253"/>
    </row>
    <row r="394">
      <c r="C394" s="253"/>
      <c r="D394" s="253"/>
    </row>
    <row r="395">
      <c r="C395" s="253"/>
      <c r="D395" s="253"/>
    </row>
    <row r="396">
      <c r="C396" s="253"/>
      <c r="D396" s="253"/>
    </row>
    <row r="397">
      <c r="C397" s="253"/>
      <c r="D397" s="253"/>
    </row>
    <row r="398">
      <c r="C398" s="253"/>
      <c r="D398" s="253"/>
    </row>
    <row r="399">
      <c r="C399" s="253"/>
      <c r="D399" s="253"/>
    </row>
    <row r="400">
      <c r="C400" s="253"/>
      <c r="D400" s="253"/>
    </row>
    <row r="401">
      <c r="C401" s="253"/>
      <c r="D401" s="253"/>
    </row>
    <row r="402">
      <c r="C402" s="253"/>
      <c r="D402" s="253"/>
    </row>
    <row r="403">
      <c r="C403" s="253"/>
      <c r="D403" s="253"/>
    </row>
    <row r="404">
      <c r="C404" s="253"/>
      <c r="D404" s="253"/>
    </row>
    <row r="405">
      <c r="C405" s="253"/>
      <c r="D405" s="253"/>
    </row>
    <row r="406">
      <c r="C406" s="253"/>
      <c r="D406" s="253"/>
    </row>
    <row r="407">
      <c r="C407" s="253"/>
      <c r="D407" s="253"/>
    </row>
    <row r="408">
      <c r="C408" s="253"/>
      <c r="D408" s="253"/>
    </row>
    <row r="409">
      <c r="C409" s="253"/>
      <c r="D409" s="253"/>
    </row>
    <row r="410">
      <c r="C410" s="253"/>
      <c r="D410" s="253"/>
    </row>
    <row r="411">
      <c r="C411" s="253"/>
      <c r="D411" s="253"/>
    </row>
    <row r="412">
      <c r="C412" s="253"/>
      <c r="D412" s="253"/>
    </row>
    <row r="413">
      <c r="C413" s="253"/>
      <c r="D413" s="253"/>
    </row>
    <row r="414">
      <c r="C414" s="253"/>
      <c r="D414" s="253"/>
    </row>
    <row r="415">
      <c r="C415" s="253"/>
      <c r="D415" s="253"/>
    </row>
    <row r="416">
      <c r="C416" s="253"/>
      <c r="D416" s="253"/>
    </row>
    <row r="417">
      <c r="C417" s="253"/>
      <c r="D417" s="253"/>
    </row>
    <row r="418">
      <c r="C418" s="253"/>
      <c r="D418" s="253"/>
    </row>
    <row r="419">
      <c r="C419" s="253"/>
      <c r="D419" s="253"/>
    </row>
    <row r="420">
      <c r="C420" s="253"/>
      <c r="D420" s="253"/>
    </row>
    <row r="421">
      <c r="C421" s="253"/>
      <c r="D421" s="253"/>
    </row>
    <row r="422">
      <c r="C422" s="253"/>
      <c r="D422" s="253"/>
    </row>
    <row r="423">
      <c r="C423" s="253"/>
      <c r="D423" s="253"/>
    </row>
    <row r="424">
      <c r="C424" s="253"/>
      <c r="D424" s="253"/>
    </row>
    <row r="425">
      <c r="C425" s="253"/>
      <c r="D425" s="253"/>
    </row>
    <row r="426">
      <c r="C426" s="253"/>
      <c r="D426" s="253"/>
    </row>
    <row r="427">
      <c r="C427" s="253"/>
      <c r="D427" s="253"/>
    </row>
    <row r="428">
      <c r="C428" s="253"/>
      <c r="D428" s="253"/>
    </row>
    <row r="429">
      <c r="C429" s="253"/>
      <c r="D429" s="253"/>
    </row>
    <row r="430">
      <c r="C430" s="253"/>
      <c r="D430" s="253"/>
    </row>
    <row r="431">
      <c r="C431" s="253"/>
      <c r="D431" s="253"/>
    </row>
    <row r="432">
      <c r="C432" s="253"/>
      <c r="D432" s="253"/>
    </row>
    <row r="433">
      <c r="C433" s="253"/>
      <c r="D433" s="253"/>
    </row>
    <row r="434">
      <c r="C434" s="253"/>
      <c r="D434" s="253"/>
    </row>
    <row r="435">
      <c r="C435" s="253"/>
      <c r="D435" s="253"/>
    </row>
    <row r="436">
      <c r="C436" s="253"/>
      <c r="D436" s="253"/>
    </row>
    <row r="437">
      <c r="C437" s="253"/>
      <c r="D437" s="253"/>
    </row>
    <row r="438">
      <c r="C438" s="253"/>
      <c r="D438" s="253"/>
    </row>
    <row r="439">
      <c r="C439" s="253"/>
      <c r="D439" s="253"/>
    </row>
    <row r="440">
      <c r="C440" s="253"/>
      <c r="D440" s="253"/>
    </row>
    <row r="441">
      <c r="C441" s="253"/>
      <c r="D441" s="253"/>
    </row>
    <row r="442">
      <c r="C442" s="253"/>
      <c r="D442" s="253"/>
    </row>
    <row r="443">
      <c r="C443" s="253"/>
      <c r="D443" s="253"/>
    </row>
    <row r="444">
      <c r="C444" s="253"/>
      <c r="D444" s="253"/>
    </row>
    <row r="445">
      <c r="C445" s="253"/>
      <c r="D445" s="253"/>
    </row>
    <row r="446">
      <c r="C446" s="253"/>
      <c r="D446" s="253"/>
    </row>
    <row r="447">
      <c r="C447" s="253"/>
      <c r="D447" s="253"/>
    </row>
    <row r="448">
      <c r="C448" s="253"/>
      <c r="D448" s="253"/>
    </row>
    <row r="449">
      <c r="C449" s="253"/>
      <c r="D449" s="253"/>
    </row>
    <row r="450">
      <c r="C450" s="253"/>
      <c r="D450" s="253"/>
    </row>
    <row r="451">
      <c r="C451" s="253"/>
      <c r="D451" s="253"/>
    </row>
    <row r="452">
      <c r="C452" s="253"/>
      <c r="D452" s="253"/>
    </row>
    <row r="453">
      <c r="C453" s="253"/>
      <c r="D453" s="253"/>
    </row>
    <row r="454">
      <c r="C454" s="253"/>
      <c r="D454" s="253"/>
    </row>
    <row r="455">
      <c r="C455" s="253"/>
      <c r="D455" s="253"/>
    </row>
    <row r="456">
      <c r="C456" s="253"/>
      <c r="D456" s="253"/>
    </row>
    <row r="457">
      <c r="C457" s="253"/>
      <c r="D457" s="253"/>
    </row>
    <row r="458">
      <c r="C458" s="253"/>
      <c r="D458" s="253"/>
    </row>
    <row r="459">
      <c r="C459" s="253"/>
      <c r="D459" s="253"/>
    </row>
    <row r="460">
      <c r="C460" s="253"/>
      <c r="D460" s="253"/>
    </row>
    <row r="461">
      <c r="C461" s="253"/>
      <c r="D461" s="253"/>
    </row>
    <row r="462">
      <c r="C462" s="253"/>
      <c r="D462" s="253"/>
    </row>
    <row r="463">
      <c r="C463" s="253"/>
      <c r="D463" s="253"/>
    </row>
    <row r="464">
      <c r="C464" s="253"/>
      <c r="D464" s="253"/>
    </row>
    <row r="465">
      <c r="C465" s="253"/>
      <c r="D465" s="253"/>
    </row>
    <row r="466">
      <c r="C466" s="253"/>
      <c r="D466" s="253"/>
    </row>
    <row r="467">
      <c r="C467" s="253"/>
      <c r="D467" s="253"/>
    </row>
    <row r="468">
      <c r="C468" s="253"/>
      <c r="D468" s="253"/>
    </row>
    <row r="469">
      <c r="C469" s="253"/>
      <c r="D469" s="253"/>
    </row>
    <row r="470">
      <c r="C470" s="253"/>
      <c r="D470" s="253"/>
    </row>
    <row r="471">
      <c r="C471" s="253"/>
      <c r="D471" s="253"/>
    </row>
    <row r="472">
      <c r="C472" s="253"/>
      <c r="D472" s="253"/>
    </row>
    <row r="473">
      <c r="C473" s="253"/>
      <c r="D473" s="253"/>
    </row>
    <row r="474">
      <c r="C474" s="253"/>
      <c r="D474" s="253"/>
    </row>
    <row r="475">
      <c r="C475" s="253"/>
      <c r="D475" s="253"/>
    </row>
    <row r="476">
      <c r="C476" s="253"/>
      <c r="D476" s="253"/>
    </row>
    <row r="477">
      <c r="C477" s="253"/>
      <c r="D477" s="253"/>
    </row>
    <row r="478">
      <c r="C478" s="253"/>
      <c r="D478" s="253"/>
    </row>
    <row r="479">
      <c r="C479" s="253"/>
      <c r="D479" s="253"/>
    </row>
    <row r="480">
      <c r="C480" s="253"/>
      <c r="D480" s="253"/>
    </row>
    <row r="481">
      <c r="C481" s="253"/>
      <c r="D481" s="253"/>
    </row>
    <row r="482">
      <c r="C482" s="253"/>
      <c r="D482" s="253"/>
    </row>
    <row r="483">
      <c r="C483" s="253"/>
      <c r="D483" s="253"/>
    </row>
    <row r="484">
      <c r="C484" s="253"/>
      <c r="D484" s="253"/>
    </row>
    <row r="485">
      <c r="C485" s="253"/>
      <c r="D485" s="253"/>
    </row>
    <row r="486">
      <c r="C486" s="253"/>
      <c r="D486" s="253"/>
    </row>
    <row r="487">
      <c r="C487" s="253"/>
      <c r="D487" s="253"/>
    </row>
    <row r="488">
      <c r="C488" s="253"/>
      <c r="D488" s="253"/>
    </row>
    <row r="489">
      <c r="C489" s="253"/>
      <c r="D489" s="253"/>
    </row>
    <row r="490">
      <c r="C490" s="253"/>
      <c r="D490" s="253"/>
    </row>
    <row r="491">
      <c r="C491" s="253"/>
      <c r="D491" s="253"/>
    </row>
    <row r="492">
      <c r="C492" s="253"/>
      <c r="D492" s="253"/>
    </row>
    <row r="493">
      <c r="C493" s="253"/>
      <c r="D493" s="253"/>
    </row>
    <row r="494">
      <c r="C494" s="253"/>
      <c r="D494" s="253"/>
    </row>
    <row r="495">
      <c r="C495" s="253"/>
      <c r="D495" s="253"/>
    </row>
    <row r="496">
      <c r="C496" s="253"/>
      <c r="D496" s="253"/>
    </row>
    <row r="497">
      <c r="C497" s="253"/>
      <c r="D497" s="253"/>
    </row>
    <row r="498">
      <c r="C498" s="253"/>
      <c r="D498" s="253"/>
    </row>
    <row r="499">
      <c r="C499" s="253"/>
      <c r="D499" s="253"/>
    </row>
    <row r="500">
      <c r="C500" s="253"/>
      <c r="D500" s="253"/>
    </row>
    <row r="501">
      <c r="C501" s="253"/>
      <c r="D501" s="253"/>
    </row>
    <row r="502">
      <c r="C502" s="253"/>
      <c r="D502" s="253"/>
    </row>
    <row r="503">
      <c r="C503" s="253"/>
      <c r="D503" s="253"/>
    </row>
    <row r="504">
      <c r="C504" s="253"/>
      <c r="D504" s="253"/>
    </row>
    <row r="505">
      <c r="C505" s="253"/>
      <c r="D505" s="253"/>
    </row>
    <row r="506">
      <c r="C506" s="253"/>
      <c r="D506" s="253"/>
    </row>
    <row r="507">
      <c r="C507" s="253"/>
      <c r="D507" s="253"/>
    </row>
    <row r="508">
      <c r="C508" s="253"/>
      <c r="D508" s="253"/>
    </row>
    <row r="509">
      <c r="C509" s="253"/>
      <c r="D509" s="253"/>
    </row>
    <row r="510">
      <c r="C510" s="253"/>
      <c r="D510" s="253"/>
    </row>
    <row r="511">
      <c r="C511" s="253"/>
      <c r="D511" s="253"/>
    </row>
    <row r="512">
      <c r="C512" s="253"/>
      <c r="D512" s="253"/>
    </row>
    <row r="513">
      <c r="C513" s="253"/>
      <c r="D513" s="253"/>
    </row>
    <row r="514">
      <c r="C514" s="253"/>
      <c r="D514" s="253"/>
    </row>
    <row r="515">
      <c r="C515" s="253"/>
      <c r="D515" s="253"/>
    </row>
    <row r="516">
      <c r="C516" s="253"/>
      <c r="D516" s="253"/>
    </row>
    <row r="517">
      <c r="C517" s="253"/>
      <c r="D517" s="253"/>
    </row>
    <row r="518">
      <c r="C518" s="253"/>
      <c r="D518" s="253"/>
    </row>
    <row r="519">
      <c r="C519" s="253"/>
      <c r="D519" s="253"/>
    </row>
    <row r="520">
      <c r="C520" s="253"/>
      <c r="D520" s="253"/>
    </row>
    <row r="521">
      <c r="C521" s="253"/>
      <c r="D521" s="253"/>
    </row>
    <row r="522">
      <c r="C522" s="253"/>
      <c r="D522" s="253"/>
    </row>
    <row r="523">
      <c r="C523" s="253"/>
      <c r="D523" s="253"/>
    </row>
    <row r="524">
      <c r="C524" s="253"/>
      <c r="D524" s="253"/>
    </row>
    <row r="525">
      <c r="C525" s="253"/>
      <c r="D525" s="253"/>
    </row>
    <row r="526">
      <c r="C526" s="253"/>
      <c r="D526" s="253"/>
    </row>
    <row r="527">
      <c r="C527" s="253"/>
      <c r="D527" s="253"/>
    </row>
    <row r="528">
      <c r="C528" s="253"/>
      <c r="D528" s="253"/>
    </row>
    <row r="529">
      <c r="C529" s="253"/>
      <c r="D529" s="253"/>
    </row>
    <row r="530">
      <c r="C530" s="253"/>
      <c r="D530" s="253"/>
    </row>
    <row r="531">
      <c r="C531" s="253"/>
      <c r="D531" s="253"/>
    </row>
    <row r="532">
      <c r="C532" s="253"/>
      <c r="D532" s="253"/>
    </row>
    <row r="533">
      <c r="C533" s="253"/>
      <c r="D533" s="253"/>
    </row>
    <row r="534">
      <c r="C534" s="253"/>
      <c r="D534" s="253"/>
    </row>
    <row r="535">
      <c r="C535" s="253"/>
      <c r="D535" s="253"/>
    </row>
    <row r="536">
      <c r="C536" s="253"/>
      <c r="D536" s="253"/>
    </row>
    <row r="537">
      <c r="C537" s="253"/>
      <c r="D537" s="253"/>
    </row>
    <row r="538">
      <c r="C538" s="253"/>
      <c r="D538" s="253"/>
    </row>
    <row r="539">
      <c r="C539" s="253"/>
      <c r="D539" s="253"/>
    </row>
    <row r="540">
      <c r="C540" s="253"/>
      <c r="D540" s="253"/>
    </row>
    <row r="541">
      <c r="C541" s="253"/>
      <c r="D541" s="253"/>
    </row>
    <row r="542">
      <c r="C542" s="253"/>
      <c r="D542" s="253"/>
    </row>
    <row r="543">
      <c r="C543" s="253"/>
      <c r="D543" s="253"/>
    </row>
    <row r="544">
      <c r="C544" s="253"/>
      <c r="D544" s="253"/>
    </row>
    <row r="545">
      <c r="C545" s="253"/>
      <c r="D545" s="253"/>
    </row>
    <row r="546">
      <c r="C546" s="253"/>
      <c r="D546" s="253"/>
    </row>
    <row r="547">
      <c r="C547" s="253"/>
      <c r="D547" s="253"/>
    </row>
    <row r="548">
      <c r="C548" s="253"/>
      <c r="D548" s="253"/>
    </row>
    <row r="549">
      <c r="C549" s="253"/>
      <c r="D549" s="253"/>
    </row>
    <row r="550">
      <c r="C550" s="253"/>
      <c r="D550" s="253"/>
    </row>
    <row r="551">
      <c r="C551" s="253"/>
      <c r="D551" s="253"/>
    </row>
    <row r="552">
      <c r="C552" s="253"/>
      <c r="D552" s="253"/>
    </row>
    <row r="553">
      <c r="C553" s="253"/>
      <c r="D553" s="253"/>
    </row>
    <row r="554">
      <c r="C554" s="253"/>
      <c r="D554" s="253"/>
    </row>
    <row r="555">
      <c r="C555" s="253"/>
      <c r="D555" s="253"/>
    </row>
    <row r="556">
      <c r="C556" s="253"/>
      <c r="D556" s="253"/>
    </row>
    <row r="557">
      <c r="C557" s="253"/>
      <c r="D557" s="253"/>
    </row>
    <row r="558">
      <c r="C558" s="253"/>
      <c r="D558" s="253"/>
    </row>
    <row r="559">
      <c r="C559" s="253"/>
      <c r="D559" s="253"/>
    </row>
    <row r="560">
      <c r="C560" s="253"/>
      <c r="D560" s="253"/>
    </row>
    <row r="561">
      <c r="C561" s="253"/>
      <c r="D561" s="253"/>
    </row>
    <row r="562">
      <c r="C562" s="253"/>
      <c r="D562" s="253"/>
    </row>
    <row r="563">
      <c r="C563" s="253"/>
      <c r="D563" s="253"/>
    </row>
    <row r="564">
      <c r="C564" s="253"/>
      <c r="D564" s="253"/>
    </row>
    <row r="565">
      <c r="C565" s="253"/>
      <c r="D565" s="253"/>
    </row>
    <row r="566">
      <c r="C566" s="253"/>
      <c r="D566" s="253"/>
    </row>
    <row r="567">
      <c r="C567" s="253"/>
      <c r="D567" s="253"/>
    </row>
    <row r="568">
      <c r="C568" s="253"/>
      <c r="D568" s="253"/>
    </row>
    <row r="569">
      <c r="C569" s="253"/>
      <c r="D569" s="253"/>
    </row>
    <row r="570">
      <c r="C570" s="253"/>
      <c r="D570" s="253"/>
    </row>
    <row r="571">
      <c r="C571" s="253"/>
      <c r="D571" s="253"/>
    </row>
    <row r="572">
      <c r="C572" s="253"/>
      <c r="D572" s="253"/>
    </row>
    <row r="573">
      <c r="C573" s="253"/>
      <c r="D573" s="253"/>
    </row>
    <row r="574">
      <c r="C574" s="253"/>
      <c r="D574" s="253"/>
    </row>
    <row r="575">
      <c r="C575" s="253"/>
      <c r="D575" s="253"/>
    </row>
    <row r="576">
      <c r="C576" s="253"/>
      <c r="D576" s="253"/>
    </row>
    <row r="577">
      <c r="C577" s="253"/>
      <c r="D577" s="253"/>
    </row>
    <row r="578">
      <c r="C578" s="253"/>
      <c r="D578" s="253"/>
    </row>
    <row r="579">
      <c r="C579" s="253"/>
      <c r="D579" s="253"/>
    </row>
    <row r="580">
      <c r="C580" s="253"/>
      <c r="D580" s="253"/>
    </row>
    <row r="581">
      <c r="C581" s="253"/>
      <c r="D581" s="253"/>
    </row>
    <row r="582">
      <c r="C582" s="253"/>
      <c r="D582" s="253"/>
    </row>
    <row r="583">
      <c r="C583" s="253"/>
      <c r="D583" s="253"/>
    </row>
    <row r="584">
      <c r="C584" s="253"/>
      <c r="D584" s="253"/>
    </row>
    <row r="585">
      <c r="C585" s="253"/>
      <c r="D585" s="253"/>
    </row>
    <row r="586">
      <c r="C586" s="253"/>
      <c r="D586" s="253"/>
    </row>
    <row r="587">
      <c r="C587" s="253"/>
      <c r="D587" s="253"/>
    </row>
    <row r="588">
      <c r="C588" s="253"/>
      <c r="D588" s="253"/>
    </row>
    <row r="589">
      <c r="C589" s="253"/>
      <c r="D589" s="253"/>
    </row>
    <row r="590">
      <c r="C590" s="253"/>
      <c r="D590" s="253"/>
    </row>
    <row r="591">
      <c r="C591" s="253"/>
      <c r="D591" s="253"/>
    </row>
    <row r="592">
      <c r="C592" s="253"/>
      <c r="D592" s="253"/>
    </row>
    <row r="593">
      <c r="C593" s="253"/>
      <c r="D593" s="253"/>
    </row>
    <row r="594">
      <c r="C594" s="253"/>
      <c r="D594" s="253"/>
    </row>
    <row r="595">
      <c r="C595" s="253"/>
      <c r="D595" s="253"/>
    </row>
    <row r="596">
      <c r="C596" s="253"/>
      <c r="D596" s="253"/>
    </row>
    <row r="597">
      <c r="C597" s="253"/>
      <c r="D597" s="253"/>
    </row>
    <row r="598">
      <c r="C598" s="253"/>
      <c r="D598" s="253"/>
    </row>
    <row r="599">
      <c r="C599" s="253"/>
      <c r="D599" s="253"/>
    </row>
    <row r="600">
      <c r="C600" s="253"/>
      <c r="D600" s="253"/>
    </row>
    <row r="601">
      <c r="C601" s="253"/>
      <c r="D601" s="253"/>
    </row>
    <row r="602">
      <c r="C602" s="253"/>
      <c r="D602" s="253"/>
    </row>
    <row r="603">
      <c r="C603" s="253"/>
      <c r="D603" s="253"/>
    </row>
    <row r="604">
      <c r="C604" s="253"/>
      <c r="D604" s="253"/>
    </row>
    <row r="605">
      <c r="C605" s="253"/>
      <c r="D605" s="253"/>
    </row>
    <row r="606">
      <c r="C606" s="253"/>
      <c r="D606" s="253"/>
    </row>
    <row r="607">
      <c r="C607" s="253"/>
      <c r="D607" s="253"/>
    </row>
    <row r="608">
      <c r="C608" s="253"/>
      <c r="D608" s="253"/>
    </row>
    <row r="609">
      <c r="C609" s="253"/>
      <c r="D609" s="253"/>
    </row>
    <row r="610">
      <c r="C610" s="253"/>
      <c r="D610" s="253"/>
    </row>
    <row r="611">
      <c r="C611" s="253"/>
      <c r="D611" s="253"/>
    </row>
    <row r="612">
      <c r="C612" s="253"/>
      <c r="D612" s="253"/>
    </row>
    <row r="613">
      <c r="C613" s="253"/>
      <c r="D613" s="253"/>
    </row>
    <row r="614">
      <c r="C614" s="253"/>
      <c r="D614" s="253"/>
    </row>
    <row r="615">
      <c r="C615" s="253"/>
      <c r="D615" s="253"/>
    </row>
    <row r="616">
      <c r="C616" s="253"/>
      <c r="D616" s="253"/>
    </row>
    <row r="617">
      <c r="C617" s="253"/>
      <c r="D617" s="253"/>
    </row>
    <row r="618">
      <c r="C618" s="253"/>
      <c r="D618" s="253"/>
    </row>
    <row r="619">
      <c r="C619" s="253"/>
      <c r="D619" s="253"/>
    </row>
    <row r="620">
      <c r="C620" s="253"/>
      <c r="D620" s="253"/>
    </row>
    <row r="621">
      <c r="C621" s="253"/>
      <c r="D621" s="253"/>
    </row>
    <row r="622">
      <c r="C622" s="253"/>
      <c r="D622" s="253"/>
    </row>
    <row r="623">
      <c r="C623" s="253"/>
      <c r="D623" s="253"/>
    </row>
    <row r="624">
      <c r="C624" s="253"/>
      <c r="D624" s="253"/>
    </row>
    <row r="625">
      <c r="C625" s="253"/>
      <c r="D625" s="253"/>
    </row>
    <row r="626">
      <c r="C626" s="253"/>
      <c r="D626" s="253"/>
    </row>
    <row r="627">
      <c r="C627" s="253"/>
      <c r="D627" s="253"/>
    </row>
    <row r="628">
      <c r="C628" s="253"/>
      <c r="D628" s="253"/>
    </row>
    <row r="629">
      <c r="C629" s="253"/>
      <c r="D629" s="253"/>
    </row>
    <row r="630">
      <c r="C630" s="253"/>
      <c r="D630" s="253"/>
    </row>
    <row r="631">
      <c r="C631" s="253"/>
      <c r="D631" s="253"/>
    </row>
    <row r="632">
      <c r="C632" s="253"/>
      <c r="D632" s="253"/>
    </row>
    <row r="633">
      <c r="C633" s="253"/>
      <c r="D633" s="253"/>
    </row>
    <row r="634">
      <c r="C634" s="253"/>
      <c r="D634" s="253"/>
    </row>
    <row r="635">
      <c r="C635" s="253"/>
      <c r="D635" s="253"/>
    </row>
    <row r="636">
      <c r="C636" s="253"/>
      <c r="D636" s="253"/>
    </row>
    <row r="637">
      <c r="C637" s="253"/>
      <c r="D637" s="253"/>
    </row>
    <row r="638">
      <c r="C638" s="253"/>
      <c r="D638" s="253"/>
    </row>
    <row r="639">
      <c r="C639" s="253"/>
      <c r="D639" s="253"/>
    </row>
    <row r="640">
      <c r="C640" s="253"/>
      <c r="D640" s="253"/>
    </row>
    <row r="641">
      <c r="C641" s="253"/>
      <c r="D641" s="253"/>
    </row>
    <row r="642">
      <c r="C642" s="253"/>
      <c r="D642" s="253"/>
    </row>
    <row r="643">
      <c r="C643" s="253"/>
      <c r="D643" s="253"/>
    </row>
    <row r="644">
      <c r="C644" s="253"/>
      <c r="D644" s="253"/>
    </row>
    <row r="645">
      <c r="C645" s="253"/>
      <c r="D645" s="253"/>
    </row>
    <row r="646">
      <c r="C646" s="253"/>
      <c r="D646" s="253"/>
    </row>
    <row r="647">
      <c r="C647" s="253"/>
      <c r="D647" s="253"/>
    </row>
    <row r="648">
      <c r="C648" s="253"/>
      <c r="D648" s="253"/>
    </row>
    <row r="649">
      <c r="C649" s="253"/>
      <c r="D649" s="253"/>
    </row>
    <row r="650">
      <c r="C650" s="253"/>
      <c r="D650" s="253"/>
    </row>
    <row r="651">
      <c r="C651" s="253"/>
      <c r="D651" s="253"/>
    </row>
    <row r="652">
      <c r="C652" s="253"/>
      <c r="D652" s="253"/>
    </row>
    <row r="653">
      <c r="C653" s="253"/>
      <c r="D653" s="253"/>
    </row>
    <row r="654">
      <c r="C654" s="253"/>
      <c r="D654" s="253"/>
    </row>
    <row r="655">
      <c r="C655" s="253"/>
      <c r="D655" s="253"/>
    </row>
    <row r="656">
      <c r="C656" s="253"/>
      <c r="D656" s="253"/>
    </row>
    <row r="657">
      <c r="C657" s="253"/>
      <c r="D657" s="253"/>
    </row>
    <row r="658">
      <c r="C658" s="253"/>
      <c r="D658" s="253"/>
    </row>
    <row r="659">
      <c r="C659" s="253"/>
      <c r="D659" s="253"/>
    </row>
    <row r="660">
      <c r="C660" s="253"/>
      <c r="D660" s="253"/>
    </row>
    <row r="661">
      <c r="C661" s="253"/>
      <c r="D661" s="253"/>
    </row>
    <row r="662">
      <c r="C662" s="253"/>
      <c r="D662" s="253"/>
    </row>
    <row r="663">
      <c r="C663" s="253"/>
      <c r="D663" s="253"/>
    </row>
    <row r="664">
      <c r="C664" s="253"/>
      <c r="D664" s="253"/>
    </row>
    <row r="665">
      <c r="C665" s="253"/>
      <c r="D665" s="253"/>
    </row>
    <row r="666">
      <c r="C666" s="253"/>
      <c r="D666" s="253"/>
    </row>
    <row r="667">
      <c r="C667" s="253"/>
      <c r="D667" s="253"/>
    </row>
    <row r="668">
      <c r="C668" s="253"/>
      <c r="D668" s="253"/>
    </row>
    <row r="669">
      <c r="C669" s="253"/>
      <c r="D669" s="253"/>
    </row>
    <row r="670">
      <c r="C670" s="253"/>
      <c r="D670" s="253"/>
    </row>
    <row r="671">
      <c r="C671" s="253"/>
      <c r="D671" s="253"/>
    </row>
    <row r="672">
      <c r="C672" s="253"/>
      <c r="D672" s="253"/>
    </row>
    <row r="673">
      <c r="C673" s="253"/>
      <c r="D673" s="253"/>
    </row>
    <row r="674">
      <c r="C674" s="253"/>
      <c r="D674" s="253"/>
    </row>
    <row r="675">
      <c r="C675" s="253"/>
      <c r="D675" s="253"/>
    </row>
    <row r="676">
      <c r="C676" s="253"/>
      <c r="D676" s="253"/>
    </row>
    <row r="677">
      <c r="C677" s="253"/>
      <c r="D677" s="253"/>
    </row>
    <row r="678">
      <c r="C678" s="253"/>
      <c r="D678" s="253"/>
    </row>
    <row r="679">
      <c r="C679" s="253"/>
      <c r="D679" s="253"/>
    </row>
    <row r="680">
      <c r="C680" s="253"/>
      <c r="D680" s="253"/>
    </row>
    <row r="681">
      <c r="C681" s="253"/>
      <c r="D681" s="253"/>
    </row>
    <row r="682">
      <c r="C682" s="253"/>
      <c r="D682" s="253"/>
    </row>
    <row r="683">
      <c r="C683" s="253"/>
      <c r="D683" s="253"/>
    </row>
    <row r="684">
      <c r="C684" s="253"/>
      <c r="D684" s="253"/>
    </row>
    <row r="685">
      <c r="C685" s="253"/>
      <c r="D685" s="253"/>
    </row>
    <row r="686">
      <c r="C686" s="253"/>
      <c r="D686" s="253"/>
    </row>
    <row r="687">
      <c r="C687" s="253"/>
      <c r="D687" s="253"/>
    </row>
    <row r="688">
      <c r="C688" s="253"/>
      <c r="D688" s="253"/>
    </row>
    <row r="689">
      <c r="C689" s="253"/>
      <c r="D689" s="253"/>
    </row>
    <row r="690">
      <c r="C690" s="253"/>
      <c r="D690" s="253"/>
    </row>
    <row r="691">
      <c r="C691" s="253"/>
      <c r="D691" s="253"/>
    </row>
    <row r="692">
      <c r="C692" s="253"/>
      <c r="D692" s="253"/>
    </row>
    <row r="693">
      <c r="C693" s="253"/>
      <c r="D693" s="253"/>
    </row>
    <row r="694">
      <c r="C694" s="253"/>
      <c r="D694" s="253"/>
    </row>
    <row r="695">
      <c r="C695" s="253"/>
      <c r="D695" s="253"/>
    </row>
    <row r="696">
      <c r="C696" s="253"/>
      <c r="D696" s="253"/>
    </row>
    <row r="697">
      <c r="C697" s="253"/>
      <c r="D697" s="253"/>
    </row>
    <row r="698">
      <c r="C698" s="253"/>
      <c r="D698" s="253"/>
    </row>
    <row r="699">
      <c r="C699" s="253"/>
      <c r="D699" s="253"/>
    </row>
    <row r="700">
      <c r="C700" s="253"/>
      <c r="D700" s="253"/>
    </row>
    <row r="701">
      <c r="C701" s="253"/>
      <c r="D701" s="253"/>
    </row>
    <row r="702">
      <c r="C702" s="253"/>
      <c r="D702" s="253"/>
    </row>
    <row r="703">
      <c r="C703" s="253"/>
      <c r="D703" s="253"/>
    </row>
    <row r="704">
      <c r="C704" s="253"/>
      <c r="D704" s="253"/>
    </row>
    <row r="705">
      <c r="C705" s="253"/>
      <c r="D705" s="253"/>
    </row>
    <row r="706">
      <c r="C706" s="253"/>
      <c r="D706" s="253"/>
    </row>
    <row r="707">
      <c r="C707" s="253"/>
      <c r="D707" s="253"/>
    </row>
    <row r="708">
      <c r="C708" s="253"/>
      <c r="D708" s="253"/>
    </row>
    <row r="709">
      <c r="C709" s="253"/>
      <c r="D709" s="253"/>
    </row>
    <row r="710">
      <c r="C710" s="253"/>
      <c r="D710" s="253"/>
    </row>
    <row r="711">
      <c r="C711" s="253"/>
      <c r="D711" s="253"/>
    </row>
    <row r="712">
      <c r="C712" s="253"/>
      <c r="D712" s="253"/>
    </row>
    <row r="713">
      <c r="C713" s="253"/>
      <c r="D713" s="253"/>
    </row>
    <row r="714">
      <c r="C714" s="253"/>
      <c r="D714" s="253"/>
    </row>
    <row r="715">
      <c r="C715" s="253"/>
      <c r="D715" s="253"/>
    </row>
    <row r="716">
      <c r="C716" s="253"/>
      <c r="D716" s="253"/>
    </row>
    <row r="717">
      <c r="C717" s="253"/>
      <c r="D717" s="253"/>
    </row>
    <row r="718">
      <c r="C718" s="253"/>
      <c r="D718" s="253"/>
    </row>
    <row r="719">
      <c r="C719" s="253"/>
      <c r="D719" s="253"/>
    </row>
    <row r="720">
      <c r="C720" s="253"/>
      <c r="D720" s="253"/>
    </row>
    <row r="721">
      <c r="C721" s="253"/>
      <c r="D721" s="253"/>
    </row>
    <row r="722">
      <c r="C722" s="253"/>
      <c r="D722" s="253"/>
    </row>
    <row r="723">
      <c r="C723" s="253"/>
      <c r="D723" s="253"/>
    </row>
    <row r="724">
      <c r="C724" s="253"/>
      <c r="D724" s="253"/>
    </row>
    <row r="725">
      <c r="C725" s="253"/>
      <c r="D725" s="253"/>
    </row>
    <row r="726">
      <c r="C726" s="253"/>
      <c r="D726" s="253"/>
    </row>
    <row r="727">
      <c r="C727" s="253"/>
      <c r="D727" s="253"/>
    </row>
    <row r="728">
      <c r="C728" s="253"/>
      <c r="D728" s="253"/>
    </row>
    <row r="729">
      <c r="C729" s="253"/>
      <c r="D729" s="253"/>
    </row>
    <row r="730">
      <c r="C730" s="253"/>
      <c r="D730" s="253"/>
    </row>
    <row r="731">
      <c r="C731" s="253"/>
      <c r="D731" s="253"/>
    </row>
    <row r="732">
      <c r="C732" s="253"/>
      <c r="D732" s="253"/>
    </row>
    <row r="733">
      <c r="C733" s="253"/>
      <c r="D733" s="253"/>
    </row>
    <row r="734">
      <c r="C734" s="253"/>
      <c r="D734" s="253"/>
    </row>
    <row r="735">
      <c r="C735" s="253"/>
      <c r="D735" s="253"/>
    </row>
    <row r="736">
      <c r="C736" s="253"/>
      <c r="D736" s="253"/>
    </row>
    <row r="737">
      <c r="C737" s="253"/>
      <c r="D737" s="253"/>
    </row>
    <row r="738">
      <c r="C738" s="253"/>
      <c r="D738" s="253"/>
    </row>
    <row r="739">
      <c r="C739" s="253"/>
      <c r="D739" s="253"/>
    </row>
    <row r="740">
      <c r="C740" s="253"/>
      <c r="D740" s="253"/>
    </row>
    <row r="741">
      <c r="C741" s="253"/>
      <c r="D741" s="253"/>
    </row>
    <row r="742">
      <c r="C742" s="253"/>
      <c r="D742" s="253"/>
    </row>
    <row r="743">
      <c r="C743" s="253"/>
      <c r="D743" s="253"/>
    </row>
    <row r="744">
      <c r="C744" s="253"/>
      <c r="D744" s="253"/>
    </row>
    <row r="745">
      <c r="C745" s="253"/>
      <c r="D745" s="253"/>
    </row>
    <row r="746">
      <c r="C746" s="253"/>
      <c r="D746" s="253"/>
    </row>
    <row r="747">
      <c r="C747" s="253"/>
      <c r="D747" s="253"/>
    </row>
    <row r="748">
      <c r="C748" s="253"/>
      <c r="D748" s="253"/>
    </row>
    <row r="749">
      <c r="C749" s="253"/>
      <c r="D749" s="253"/>
    </row>
    <row r="750">
      <c r="C750" s="253"/>
      <c r="D750" s="253"/>
    </row>
    <row r="751">
      <c r="C751" s="253"/>
      <c r="D751" s="253"/>
    </row>
    <row r="752">
      <c r="C752" s="253"/>
      <c r="D752" s="253"/>
    </row>
    <row r="753">
      <c r="C753" s="253"/>
      <c r="D753" s="253"/>
    </row>
    <row r="754">
      <c r="C754" s="253"/>
      <c r="D754" s="253"/>
    </row>
    <row r="755">
      <c r="C755" s="253"/>
      <c r="D755" s="253"/>
    </row>
    <row r="756">
      <c r="C756" s="253"/>
      <c r="D756" s="253"/>
    </row>
    <row r="757">
      <c r="C757" s="253"/>
      <c r="D757" s="253"/>
    </row>
    <row r="758">
      <c r="C758" s="253"/>
      <c r="D758" s="253"/>
    </row>
    <row r="759">
      <c r="C759" s="253"/>
      <c r="D759" s="253"/>
    </row>
    <row r="760">
      <c r="C760" s="253"/>
      <c r="D760" s="253"/>
    </row>
    <row r="761">
      <c r="C761" s="253"/>
      <c r="D761" s="253"/>
    </row>
    <row r="762">
      <c r="C762" s="253"/>
      <c r="D762" s="253"/>
    </row>
    <row r="763">
      <c r="C763" s="253"/>
      <c r="D763" s="253"/>
    </row>
    <row r="764">
      <c r="C764" s="253"/>
      <c r="D764" s="253"/>
    </row>
    <row r="765">
      <c r="C765" s="253"/>
      <c r="D765" s="253"/>
    </row>
    <row r="766">
      <c r="C766" s="253"/>
      <c r="D766" s="253"/>
    </row>
    <row r="767">
      <c r="C767" s="253"/>
      <c r="D767" s="253"/>
    </row>
    <row r="768">
      <c r="C768" s="253"/>
      <c r="D768" s="253"/>
    </row>
    <row r="769">
      <c r="C769" s="253"/>
      <c r="D769" s="253"/>
    </row>
    <row r="770">
      <c r="C770" s="253"/>
      <c r="D770" s="253"/>
    </row>
    <row r="771">
      <c r="C771" s="253"/>
      <c r="D771" s="253"/>
    </row>
    <row r="772">
      <c r="C772" s="253"/>
      <c r="D772" s="253"/>
    </row>
    <row r="773">
      <c r="C773" s="253"/>
      <c r="D773" s="253"/>
    </row>
    <row r="774">
      <c r="C774" s="253"/>
      <c r="D774" s="253"/>
    </row>
    <row r="775">
      <c r="C775" s="253"/>
      <c r="D775" s="253"/>
    </row>
    <row r="776">
      <c r="C776" s="253"/>
      <c r="D776" s="253"/>
    </row>
    <row r="777">
      <c r="C777" s="253"/>
      <c r="D777" s="253"/>
    </row>
    <row r="778">
      <c r="C778" s="253"/>
      <c r="D778" s="253"/>
    </row>
    <row r="779">
      <c r="C779" s="253"/>
      <c r="D779" s="253"/>
    </row>
    <row r="780">
      <c r="C780" s="253"/>
      <c r="D780" s="253"/>
    </row>
    <row r="781">
      <c r="C781" s="253"/>
      <c r="D781" s="253"/>
    </row>
    <row r="782">
      <c r="C782" s="253"/>
      <c r="D782" s="253"/>
    </row>
    <row r="783">
      <c r="C783" s="253"/>
      <c r="D783" s="253"/>
    </row>
    <row r="784">
      <c r="C784" s="253"/>
      <c r="D784" s="253"/>
    </row>
    <row r="785">
      <c r="C785" s="253"/>
      <c r="D785" s="253"/>
    </row>
    <row r="786">
      <c r="C786" s="253"/>
      <c r="D786" s="253"/>
    </row>
    <row r="787">
      <c r="C787" s="253"/>
      <c r="D787" s="253"/>
    </row>
    <row r="788">
      <c r="C788" s="253"/>
      <c r="D788" s="253"/>
    </row>
    <row r="789">
      <c r="C789" s="253"/>
      <c r="D789" s="253"/>
    </row>
    <row r="790">
      <c r="C790" s="253"/>
      <c r="D790" s="253"/>
    </row>
    <row r="791">
      <c r="C791" s="253"/>
      <c r="D791" s="253"/>
    </row>
    <row r="792">
      <c r="C792" s="253"/>
      <c r="D792" s="253"/>
    </row>
    <row r="793">
      <c r="C793" s="253"/>
      <c r="D793" s="253"/>
    </row>
    <row r="794">
      <c r="C794" s="253"/>
      <c r="D794" s="253"/>
    </row>
    <row r="795">
      <c r="C795" s="253"/>
      <c r="D795" s="253"/>
    </row>
    <row r="796">
      <c r="C796" s="253"/>
      <c r="D796" s="253"/>
    </row>
    <row r="797">
      <c r="C797" s="253"/>
      <c r="D797" s="253"/>
    </row>
    <row r="798">
      <c r="C798" s="253"/>
      <c r="D798" s="253"/>
    </row>
    <row r="799">
      <c r="C799" s="253"/>
      <c r="D799" s="253"/>
    </row>
    <row r="800">
      <c r="C800" s="253"/>
      <c r="D800" s="253"/>
    </row>
    <row r="801">
      <c r="C801" s="253"/>
      <c r="D801" s="253"/>
    </row>
    <row r="802">
      <c r="C802" s="253"/>
      <c r="D802" s="253"/>
    </row>
    <row r="803">
      <c r="C803" s="253"/>
      <c r="D803" s="253"/>
    </row>
    <row r="804">
      <c r="C804" s="253"/>
      <c r="D804" s="253"/>
    </row>
    <row r="805">
      <c r="C805" s="253"/>
      <c r="D805" s="253"/>
    </row>
    <row r="806">
      <c r="C806" s="253"/>
      <c r="D806" s="253"/>
    </row>
    <row r="807">
      <c r="C807" s="253"/>
      <c r="D807" s="253"/>
    </row>
    <row r="808">
      <c r="C808" s="253"/>
      <c r="D808" s="253"/>
    </row>
    <row r="809">
      <c r="C809" s="253"/>
      <c r="D809" s="253"/>
    </row>
    <row r="810">
      <c r="C810" s="253"/>
      <c r="D810" s="253"/>
    </row>
    <row r="811">
      <c r="C811" s="253"/>
      <c r="D811" s="253"/>
    </row>
    <row r="812">
      <c r="C812" s="253"/>
      <c r="D812" s="253"/>
    </row>
    <row r="813">
      <c r="C813" s="253"/>
      <c r="D813" s="253"/>
    </row>
    <row r="814">
      <c r="C814" s="253"/>
      <c r="D814" s="253"/>
    </row>
    <row r="815">
      <c r="C815" s="253"/>
      <c r="D815" s="253"/>
    </row>
    <row r="816">
      <c r="C816" s="253"/>
      <c r="D816" s="253"/>
    </row>
    <row r="817">
      <c r="C817" s="253"/>
      <c r="D817" s="253"/>
    </row>
    <row r="818">
      <c r="C818" s="253"/>
      <c r="D818" s="253"/>
    </row>
    <row r="819">
      <c r="C819" s="253"/>
      <c r="D819" s="253"/>
    </row>
    <row r="820">
      <c r="C820" s="253"/>
      <c r="D820" s="253"/>
    </row>
    <row r="821">
      <c r="C821" s="253"/>
      <c r="D821" s="253"/>
    </row>
    <row r="822">
      <c r="C822" s="253"/>
      <c r="D822" s="253"/>
    </row>
    <row r="823">
      <c r="C823" s="253"/>
      <c r="D823" s="253"/>
    </row>
    <row r="824">
      <c r="C824" s="253"/>
      <c r="D824" s="253"/>
    </row>
    <row r="825">
      <c r="C825" s="253"/>
      <c r="D825" s="253"/>
    </row>
    <row r="826">
      <c r="C826" s="253"/>
      <c r="D826" s="253"/>
    </row>
    <row r="827">
      <c r="C827" s="253"/>
      <c r="D827" s="253"/>
    </row>
    <row r="828">
      <c r="C828" s="253"/>
      <c r="D828" s="253"/>
    </row>
    <row r="829">
      <c r="C829" s="253"/>
      <c r="D829" s="253"/>
    </row>
    <row r="830">
      <c r="C830" s="253"/>
      <c r="D830" s="253"/>
    </row>
    <row r="831">
      <c r="C831" s="253"/>
      <c r="D831" s="253"/>
    </row>
    <row r="832">
      <c r="C832" s="253"/>
      <c r="D832" s="253"/>
    </row>
    <row r="833">
      <c r="C833" s="253"/>
      <c r="D833" s="253"/>
    </row>
    <row r="834">
      <c r="C834" s="253"/>
      <c r="D834" s="253"/>
    </row>
    <row r="835">
      <c r="C835" s="253"/>
      <c r="D835" s="253"/>
    </row>
    <row r="836">
      <c r="C836" s="253"/>
      <c r="D836" s="253"/>
    </row>
    <row r="837">
      <c r="C837" s="253"/>
      <c r="D837" s="253"/>
    </row>
    <row r="838">
      <c r="C838" s="253"/>
      <c r="D838" s="253"/>
    </row>
    <row r="839">
      <c r="C839" s="253"/>
      <c r="D839" s="253"/>
    </row>
    <row r="840">
      <c r="C840" s="253"/>
      <c r="D840" s="253"/>
    </row>
    <row r="841">
      <c r="C841" s="253"/>
      <c r="D841" s="253"/>
    </row>
    <row r="842">
      <c r="C842" s="253"/>
      <c r="D842" s="253"/>
    </row>
    <row r="843">
      <c r="C843" s="253"/>
      <c r="D843" s="253"/>
    </row>
    <row r="844">
      <c r="C844" s="253"/>
      <c r="D844" s="253"/>
    </row>
    <row r="845">
      <c r="C845" s="253"/>
      <c r="D845" s="253"/>
    </row>
    <row r="846">
      <c r="C846" s="253"/>
      <c r="D846" s="253"/>
    </row>
    <row r="847">
      <c r="C847" s="253"/>
      <c r="D847" s="253"/>
    </row>
    <row r="848">
      <c r="C848" s="253"/>
      <c r="D848" s="253"/>
    </row>
    <row r="849">
      <c r="C849" s="253"/>
      <c r="D849" s="253"/>
    </row>
    <row r="850">
      <c r="C850" s="253"/>
      <c r="D850" s="253"/>
    </row>
    <row r="851">
      <c r="C851" s="253"/>
      <c r="D851" s="253"/>
    </row>
    <row r="852">
      <c r="C852" s="253"/>
      <c r="D852" s="253"/>
    </row>
    <row r="853">
      <c r="C853" s="253"/>
      <c r="D853" s="253"/>
    </row>
    <row r="854">
      <c r="C854" s="253"/>
      <c r="D854" s="253"/>
    </row>
    <row r="855">
      <c r="C855" s="253"/>
      <c r="D855" s="253"/>
    </row>
    <row r="856">
      <c r="C856" s="253"/>
      <c r="D856" s="253"/>
    </row>
    <row r="857">
      <c r="C857" s="253"/>
      <c r="D857" s="253"/>
    </row>
    <row r="858">
      <c r="C858" s="253"/>
      <c r="D858" s="253"/>
    </row>
    <row r="859">
      <c r="C859" s="253"/>
      <c r="D859" s="253"/>
    </row>
    <row r="860">
      <c r="C860" s="253"/>
      <c r="D860" s="253"/>
    </row>
    <row r="861">
      <c r="C861" s="253"/>
      <c r="D861" s="253"/>
    </row>
    <row r="862">
      <c r="C862" s="253"/>
      <c r="D862" s="253"/>
    </row>
    <row r="863">
      <c r="C863" s="253"/>
      <c r="D863" s="253"/>
    </row>
    <row r="864">
      <c r="C864" s="253"/>
      <c r="D864" s="253"/>
    </row>
    <row r="865">
      <c r="C865" s="253"/>
      <c r="D865" s="253"/>
    </row>
    <row r="866">
      <c r="C866" s="253"/>
      <c r="D866" s="253"/>
    </row>
    <row r="867">
      <c r="C867" s="253"/>
      <c r="D867" s="253"/>
    </row>
    <row r="868">
      <c r="C868" s="253"/>
      <c r="D868" s="253"/>
    </row>
    <row r="869">
      <c r="C869" s="253"/>
      <c r="D869" s="253"/>
    </row>
    <row r="870">
      <c r="C870" s="253"/>
      <c r="D870" s="253"/>
    </row>
    <row r="871">
      <c r="C871" s="253"/>
      <c r="D871" s="253"/>
    </row>
    <row r="872">
      <c r="C872" s="253"/>
      <c r="D872" s="253"/>
    </row>
    <row r="873">
      <c r="C873" s="253"/>
      <c r="D873" s="253"/>
    </row>
    <row r="874">
      <c r="C874" s="253"/>
      <c r="D874" s="253"/>
    </row>
    <row r="875">
      <c r="C875" s="253"/>
      <c r="D875" s="253"/>
    </row>
    <row r="876">
      <c r="C876" s="253"/>
      <c r="D876" s="253"/>
    </row>
    <row r="877">
      <c r="C877" s="253"/>
      <c r="D877" s="253"/>
    </row>
    <row r="878">
      <c r="C878" s="253"/>
      <c r="D878" s="253"/>
    </row>
    <row r="879">
      <c r="C879" s="253"/>
      <c r="D879" s="253"/>
    </row>
    <row r="880">
      <c r="C880" s="253"/>
      <c r="D880" s="253"/>
    </row>
    <row r="881">
      <c r="C881" s="253"/>
      <c r="D881" s="253"/>
    </row>
    <row r="882">
      <c r="C882" s="253"/>
      <c r="D882" s="253"/>
    </row>
    <row r="883">
      <c r="C883" s="253"/>
      <c r="D883" s="253"/>
    </row>
    <row r="884">
      <c r="C884" s="253"/>
      <c r="D884" s="253"/>
    </row>
    <row r="885">
      <c r="C885" s="253"/>
      <c r="D885" s="253"/>
    </row>
    <row r="886">
      <c r="C886" s="253"/>
      <c r="D886" s="253"/>
    </row>
    <row r="887">
      <c r="C887" s="253"/>
      <c r="D887" s="253"/>
    </row>
    <row r="888">
      <c r="C888" s="253"/>
      <c r="D888" s="253"/>
    </row>
    <row r="889">
      <c r="C889" s="253"/>
      <c r="D889" s="253"/>
    </row>
    <row r="890">
      <c r="C890" s="253"/>
      <c r="D890" s="253"/>
    </row>
    <row r="891">
      <c r="C891" s="253"/>
      <c r="D891" s="253"/>
    </row>
    <row r="892">
      <c r="C892" s="253"/>
      <c r="D892" s="253"/>
    </row>
    <row r="893">
      <c r="C893" s="253"/>
      <c r="D893" s="253"/>
    </row>
    <row r="894">
      <c r="C894" s="253"/>
      <c r="D894" s="253"/>
    </row>
    <row r="895">
      <c r="C895" s="253"/>
      <c r="D895" s="253"/>
    </row>
    <row r="896">
      <c r="C896" s="253"/>
      <c r="D896" s="253"/>
    </row>
    <row r="897">
      <c r="C897" s="253"/>
      <c r="D897" s="253"/>
    </row>
    <row r="898">
      <c r="C898" s="253"/>
      <c r="D898" s="253"/>
    </row>
    <row r="899">
      <c r="C899" s="253"/>
      <c r="D899" s="253"/>
    </row>
    <row r="900">
      <c r="C900" s="253"/>
      <c r="D900" s="253"/>
    </row>
    <row r="901">
      <c r="C901" s="253"/>
      <c r="D901" s="253"/>
    </row>
    <row r="902">
      <c r="C902" s="253"/>
      <c r="D902" s="253"/>
    </row>
    <row r="903">
      <c r="C903" s="253"/>
      <c r="D903" s="253"/>
    </row>
    <row r="904">
      <c r="C904" s="253"/>
      <c r="D904" s="253"/>
    </row>
    <row r="905">
      <c r="C905" s="253"/>
      <c r="D905" s="253"/>
    </row>
    <row r="906">
      <c r="C906" s="253"/>
      <c r="D906" s="253"/>
    </row>
    <row r="907">
      <c r="C907" s="253"/>
      <c r="D907" s="253"/>
    </row>
    <row r="908">
      <c r="C908" s="253"/>
      <c r="D908" s="253"/>
    </row>
    <row r="909">
      <c r="C909" s="253"/>
      <c r="D909" s="253"/>
    </row>
    <row r="910">
      <c r="C910" s="253"/>
      <c r="D910" s="253"/>
    </row>
    <row r="911">
      <c r="C911" s="253"/>
      <c r="D911" s="253"/>
    </row>
    <row r="912">
      <c r="C912" s="253"/>
      <c r="D912" s="253"/>
    </row>
    <row r="913">
      <c r="C913" s="253"/>
      <c r="D913" s="253"/>
    </row>
    <row r="914">
      <c r="C914" s="253"/>
      <c r="D914" s="253"/>
    </row>
    <row r="915">
      <c r="C915" s="253"/>
      <c r="D915" s="253"/>
    </row>
    <row r="916">
      <c r="C916" s="253"/>
      <c r="D916" s="253"/>
    </row>
    <row r="917">
      <c r="C917" s="253"/>
      <c r="D917" s="253"/>
    </row>
    <row r="918">
      <c r="C918" s="253"/>
      <c r="D918" s="253"/>
    </row>
    <row r="919">
      <c r="C919" s="253"/>
      <c r="D919" s="253"/>
    </row>
    <row r="920">
      <c r="C920" s="253"/>
      <c r="D920" s="253"/>
    </row>
    <row r="921">
      <c r="C921" s="253"/>
      <c r="D921" s="253"/>
    </row>
    <row r="922">
      <c r="C922" s="253"/>
      <c r="D922" s="253"/>
    </row>
    <row r="923">
      <c r="C923" s="253"/>
      <c r="D923" s="253"/>
    </row>
    <row r="924">
      <c r="C924" s="253"/>
      <c r="D924" s="253"/>
    </row>
    <row r="925">
      <c r="C925" s="253"/>
      <c r="D925" s="253"/>
    </row>
    <row r="926">
      <c r="C926" s="253"/>
      <c r="D926" s="253"/>
    </row>
    <row r="927">
      <c r="C927" s="253"/>
      <c r="D927" s="253"/>
    </row>
    <row r="928">
      <c r="C928" s="253"/>
      <c r="D928" s="253"/>
    </row>
    <row r="929">
      <c r="C929" s="253"/>
      <c r="D929" s="253"/>
    </row>
    <row r="930">
      <c r="C930" s="253"/>
      <c r="D930" s="253"/>
    </row>
    <row r="931">
      <c r="C931" s="253"/>
      <c r="D931" s="253"/>
    </row>
    <row r="932">
      <c r="C932" s="253"/>
      <c r="D932" s="253"/>
    </row>
    <row r="933">
      <c r="C933" s="253"/>
      <c r="D933" s="253"/>
    </row>
    <row r="934">
      <c r="C934" s="253"/>
      <c r="D934" s="253"/>
    </row>
    <row r="935">
      <c r="C935" s="253"/>
      <c r="D935" s="253"/>
    </row>
    <row r="936">
      <c r="C936" s="253"/>
      <c r="D936" s="253"/>
    </row>
    <row r="937">
      <c r="C937" s="253"/>
      <c r="D937" s="253"/>
    </row>
    <row r="938">
      <c r="C938" s="253"/>
      <c r="D938" s="253"/>
    </row>
    <row r="939">
      <c r="C939" s="253"/>
      <c r="D939" s="253"/>
    </row>
    <row r="940">
      <c r="C940" s="253"/>
      <c r="D940" s="253"/>
    </row>
    <row r="941">
      <c r="C941" s="253"/>
      <c r="D941" s="253"/>
    </row>
    <row r="942">
      <c r="C942" s="253"/>
      <c r="D942" s="253"/>
    </row>
    <row r="943">
      <c r="C943" s="253"/>
      <c r="D943" s="253"/>
    </row>
    <row r="944">
      <c r="C944" s="253"/>
      <c r="D944" s="253"/>
    </row>
    <row r="945">
      <c r="C945" s="253"/>
      <c r="D945" s="253"/>
    </row>
    <row r="946">
      <c r="C946" s="253"/>
      <c r="D946" s="253"/>
    </row>
    <row r="947">
      <c r="C947" s="253"/>
      <c r="D947" s="253"/>
    </row>
    <row r="948">
      <c r="C948" s="253"/>
      <c r="D948" s="253"/>
    </row>
    <row r="949">
      <c r="C949" s="253"/>
      <c r="D949" s="253"/>
    </row>
    <row r="950">
      <c r="C950" s="253"/>
      <c r="D950" s="253"/>
    </row>
    <row r="951">
      <c r="C951" s="253"/>
      <c r="D951" s="253"/>
    </row>
    <row r="952">
      <c r="C952" s="253"/>
      <c r="D952" s="253"/>
    </row>
    <row r="953">
      <c r="C953" s="253"/>
      <c r="D953" s="253"/>
    </row>
    <row r="954">
      <c r="C954" s="253"/>
      <c r="D954" s="253"/>
    </row>
    <row r="955">
      <c r="C955" s="253"/>
      <c r="D955" s="253"/>
    </row>
    <row r="956">
      <c r="C956" s="253"/>
      <c r="D956" s="253"/>
    </row>
    <row r="957">
      <c r="C957" s="253"/>
      <c r="D957" s="253"/>
    </row>
    <row r="958">
      <c r="C958" s="253"/>
      <c r="D958" s="253"/>
    </row>
    <row r="959">
      <c r="C959" s="253"/>
      <c r="D959" s="253"/>
    </row>
    <row r="960">
      <c r="C960" s="253"/>
      <c r="D960" s="253"/>
    </row>
    <row r="961">
      <c r="C961" s="253"/>
      <c r="D961" s="253"/>
    </row>
    <row r="962">
      <c r="C962" s="253"/>
      <c r="D962" s="253"/>
    </row>
    <row r="963">
      <c r="C963" s="253"/>
      <c r="D963" s="253"/>
    </row>
    <row r="964">
      <c r="C964" s="253"/>
      <c r="D964" s="253"/>
    </row>
    <row r="965">
      <c r="C965" s="253"/>
      <c r="D965" s="253"/>
    </row>
    <row r="966">
      <c r="C966" s="253"/>
      <c r="D966" s="253"/>
    </row>
    <row r="967">
      <c r="C967" s="253"/>
      <c r="D967" s="253"/>
    </row>
    <row r="968">
      <c r="C968" s="253"/>
      <c r="D968" s="253"/>
    </row>
    <row r="969">
      <c r="C969" s="253"/>
      <c r="D969" s="253"/>
    </row>
    <row r="970">
      <c r="C970" s="253"/>
      <c r="D970" s="253"/>
    </row>
    <row r="971">
      <c r="C971" s="253"/>
      <c r="D971" s="253"/>
    </row>
    <row r="972">
      <c r="C972" s="253"/>
      <c r="D972" s="253"/>
    </row>
    <row r="973">
      <c r="C973" s="253"/>
      <c r="D973" s="253"/>
    </row>
    <row r="974">
      <c r="C974" s="253"/>
      <c r="D974" s="253"/>
    </row>
    <row r="975">
      <c r="C975" s="253"/>
      <c r="D975" s="253"/>
    </row>
    <row r="976">
      <c r="C976" s="253"/>
      <c r="D976" s="253"/>
    </row>
    <row r="977">
      <c r="C977" s="253"/>
      <c r="D977" s="253"/>
    </row>
    <row r="978">
      <c r="C978" s="253"/>
      <c r="D978" s="253"/>
    </row>
    <row r="979">
      <c r="C979" s="253"/>
      <c r="D979" s="253"/>
    </row>
    <row r="980">
      <c r="C980" s="253"/>
      <c r="D980" s="253"/>
    </row>
    <row r="981">
      <c r="C981" s="253"/>
      <c r="D981" s="253"/>
    </row>
    <row r="982">
      <c r="C982" s="253"/>
      <c r="D982" s="253"/>
    </row>
    <row r="983">
      <c r="C983" s="253"/>
      <c r="D983" s="253"/>
    </row>
    <row r="984">
      <c r="C984" s="253"/>
      <c r="D984" s="253"/>
    </row>
    <row r="985">
      <c r="C985" s="253"/>
      <c r="D985" s="253"/>
    </row>
    <row r="986">
      <c r="C986" s="253"/>
      <c r="D986" s="253"/>
    </row>
    <row r="987">
      <c r="C987" s="253"/>
      <c r="D987" s="253"/>
    </row>
    <row r="988">
      <c r="C988" s="253"/>
      <c r="D988" s="253"/>
    </row>
    <row r="989">
      <c r="C989" s="253"/>
      <c r="D989" s="253"/>
    </row>
    <row r="990">
      <c r="C990" s="253"/>
      <c r="D990" s="253"/>
    </row>
    <row r="991">
      <c r="C991" s="253"/>
      <c r="D991" s="253"/>
    </row>
    <row r="992">
      <c r="C992" s="253"/>
      <c r="D992" s="253"/>
    </row>
    <row r="993">
      <c r="C993" s="253"/>
      <c r="D993" s="253"/>
    </row>
    <row r="994">
      <c r="C994" s="253"/>
      <c r="D994" s="253"/>
    </row>
    <row r="995">
      <c r="C995" s="253"/>
      <c r="D995" s="253"/>
    </row>
    <row r="996">
      <c r="C996" s="253"/>
      <c r="D996" s="253"/>
    </row>
    <row r="997">
      <c r="C997" s="253"/>
      <c r="D997" s="253"/>
    </row>
    <row r="998">
      <c r="C998" s="253"/>
      <c r="D998" s="253"/>
    </row>
    <row r="999">
      <c r="C999" s="253"/>
      <c r="D999" s="253"/>
    </row>
    <row r="1000">
      <c r="C1000" s="253"/>
      <c r="D1000" s="25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6">
      <c r="C16" s="257"/>
    </row>
    <row r="17">
      <c r="C17" s="258"/>
      <c r="G17" s="258"/>
    </row>
    <row r="18">
      <c r="C18" s="258"/>
      <c r="G18" s="258"/>
    </row>
    <row r="19">
      <c r="C19" s="258"/>
      <c r="G19" s="258"/>
    </row>
    <row r="20">
      <c r="C20" s="258"/>
      <c r="G20" s="25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.88"/>
    <col customWidth="1" min="3" max="3" width="3.63"/>
    <col customWidth="1" min="4" max="4" width="9.25"/>
    <col customWidth="1" min="5" max="5" width="10.63"/>
    <col customWidth="1" min="6" max="6" width="8.0"/>
  </cols>
  <sheetData>
    <row r="1">
      <c r="A1" s="259" t="s">
        <v>74</v>
      </c>
      <c r="B1" s="259" t="s">
        <v>215</v>
      </c>
      <c r="C1" s="259" t="s">
        <v>216</v>
      </c>
      <c r="D1" s="259" t="s">
        <v>217</v>
      </c>
      <c r="E1" s="259" t="s">
        <v>218</v>
      </c>
      <c r="F1" s="259" t="s">
        <v>219</v>
      </c>
    </row>
    <row r="2">
      <c r="A2" s="260">
        <v>1.0</v>
      </c>
      <c r="B2" s="261" t="s">
        <v>20</v>
      </c>
      <c r="C2" s="262" t="s">
        <v>161</v>
      </c>
      <c r="D2" s="263">
        <v>40.0</v>
      </c>
      <c r="E2" s="264">
        <f t="shared" ref="E2:E14" si="1">trunc(D2/4,0)*1700</f>
        <v>17000</v>
      </c>
      <c r="F2" s="265">
        <f>sum(E2:E7)</f>
        <v>47600</v>
      </c>
    </row>
    <row r="3">
      <c r="A3" s="260">
        <v>2.0</v>
      </c>
      <c r="B3" s="266" t="s">
        <v>25</v>
      </c>
      <c r="C3" s="262" t="s">
        <v>161</v>
      </c>
      <c r="D3" s="263">
        <v>21.0</v>
      </c>
      <c r="E3" s="264">
        <f t="shared" si="1"/>
        <v>8500</v>
      </c>
      <c r="F3" s="267"/>
    </row>
    <row r="4">
      <c r="A4" s="260">
        <v>3.0</v>
      </c>
      <c r="B4" s="266" t="s">
        <v>30</v>
      </c>
      <c r="C4" s="262" t="s">
        <v>161</v>
      </c>
      <c r="D4" s="266">
        <v>13.5</v>
      </c>
      <c r="E4" s="264">
        <f t="shared" si="1"/>
        <v>5100</v>
      </c>
      <c r="F4" s="267"/>
    </row>
    <row r="5">
      <c r="A5" s="260">
        <v>4.0</v>
      </c>
      <c r="B5" s="266" t="s">
        <v>36</v>
      </c>
      <c r="C5" s="262" t="s">
        <v>161</v>
      </c>
      <c r="D5" s="263">
        <v>8.0</v>
      </c>
      <c r="E5" s="264">
        <f t="shared" si="1"/>
        <v>3400</v>
      </c>
      <c r="F5" s="267"/>
    </row>
    <row r="6">
      <c r="A6" s="260">
        <v>5.0</v>
      </c>
      <c r="B6" s="268" t="s">
        <v>41</v>
      </c>
      <c r="C6" s="262" t="s">
        <v>161</v>
      </c>
      <c r="D6" s="263">
        <v>19.0</v>
      </c>
      <c r="E6" s="264">
        <f t="shared" si="1"/>
        <v>6800</v>
      </c>
      <c r="F6" s="267"/>
    </row>
    <row r="7">
      <c r="A7" s="260">
        <v>6.0</v>
      </c>
      <c r="B7" s="269" t="s">
        <v>45</v>
      </c>
      <c r="C7" s="262" t="s">
        <v>161</v>
      </c>
      <c r="D7" s="263">
        <v>17.0</v>
      </c>
      <c r="E7" s="264">
        <f t="shared" si="1"/>
        <v>6800</v>
      </c>
      <c r="F7" s="270"/>
    </row>
    <row r="8">
      <c r="A8" s="260">
        <v>7.0</v>
      </c>
      <c r="B8" s="266" t="s">
        <v>110</v>
      </c>
      <c r="C8" s="271" t="s">
        <v>159</v>
      </c>
      <c r="D8" s="268">
        <v>9.0</v>
      </c>
      <c r="E8" s="264">
        <f t="shared" si="1"/>
        <v>3400</v>
      </c>
      <c r="F8" s="265">
        <f>sum(E8:E14)</f>
        <v>45900</v>
      </c>
    </row>
    <row r="9">
      <c r="A9" s="260">
        <v>8.0</v>
      </c>
      <c r="B9" s="266" t="s">
        <v>113</v>
      </c>
      <c r="C9" s="271" t="s">
        <v>159</v>
      </c>
      <c r="D9" s="263">
        <v>40.0</v>
      </c>
      <c r="E9" s="264">
        <f t="shared" si="1"/>
        <v>17000</v>
      </c>
      <c r="F9" s="267"/>
    </row>
    <row r="10">
      <c r="A10" s="260">
        <v>9.0</v>
      </c>
      <c r="B10" s="272" t="s">
        <v>121</v>
      </c>
      <c r="C10" s="271" t="s">
        <v>159</v>
      </c>
      <c r="D10" s="263">
        <v>16.0</v>
      </c>
      <c r="E10" s="264">
        <f t="shared" si="1"/>
        <v>6800</v>
      </c>
      <c r="F10" s="267"/>
    </row>
    <row r="11">
      <c r="A11" s="260">
        <v>10.0</v>
      </c>
      <c r="B11" s="263" t="s">
        <v>125</v>
      </c>
      <c r="C11" s="271" t="s">
        <v>159</v>
      </c>
      <c r="D11" s="263">
        <v>16.5</v>
      </c>
      <c r="E11" s="264">
        <f t="shared" si="1"/>
        <v>6800</v>
      </c>
      <c r="F11" s="267"/>
    </row>
    <row r="12">
      <c r="A12" s="260">
        <v>11.0</v>
      </c>
      <c r="B12" s="263" t="s">
        <v>129</v>
      </c>
      <c r="C12" s="271" t="s">
        <v>159</v>
      </c>
      <c r="D12" s="263">
        <v>9.0</v>
      </c>
      <c r="E12" s="264">
        <f t="shared" si="1"/>
        <v>3400</v>
      </c>
      <c r="F12" s="267"/>
    </row>
    <row r="13">
      <c r="A13" s="260">
        <v>12.0</v>
      </c>
      <c r="B13" s="263" t="s">
        <v>133</v>
      </c>
      <c r="C13" s="271" t="s">
        <v>159</v>
      </c>
      <c r="D13" s="263">
        <v>13.5</v>
      </c>
      <c r="E13" s="264">
        <f t="shared" si="1"/>
        <v>5100</v>
      </c>
      <c r="F13" s="267"/>
    </row>
    <row r="14">
      <c r="A14" s="260">
        <v>13.0</v>
      </c>
      <c r="B14" s="260" t="s">
        <v>50</v>
      </c>
      <c r="C14" s="271" t="s">
        <v>159</v>
      </c>
      <c r="D14" s="260">
        <v>9.0</v>
      </c>
      <c r="E14" s="264">
        <f t="shared" si="1"/>
        <v>3400</v>
      </c>
      <c r="F14" s="270"/>
    </row>
  </sheetData>
  <mergeCells count="2">
    <mergeCell ref="F2:F7"/>
    <mergeCell ref="F8:F14"/>
  </mergeCells>
  <drawing r:id="rId1"/>
</worksheet>
</file>